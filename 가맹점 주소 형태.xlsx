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LENSME\Desktop\김동훈\26년 KPI\"/>
    </mc:Choice>
  </mc:AlternateContent>
  <xr:revisionPtr revIDLastSave="0" documentId="8_{EAC56F05-BDF7-4DAE-97BB-B5E286A560E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렌즈미 전국 가맹점" sheetId="3" r:id="rId1"/>
    <sheet name="폐업가맹점 상세" sheetId="9" state="hidden" r:id="rId2"/>
    <sheet name="오픈 &amp; 폐업리스트" sheetId="5" state="hidden" r:id="rId3"/>
    <sheet name="Sheet2" sheetId="8" state="hidden" r:id="rId4"/>
  </sheets>
  <definedNames>
    <definedName name="_xlnm._FilterDatabase" localSheetId="0" hidden="1">'렌즈미 전국 가맹점'!$A$1:$C$242</definedName>
    <definedName name="_xlnm._FilterDatabase" localSheetId="2" hidden="1">'오픈 &amp; 폐업리스트'!$CP$9:$CU$9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7" i="9" l="1"/>
  <c r="CU6" i="5" l="1"/>
  <c r="CU5" i="5"/>
  <c r="CR5" i="5"/>
  <c r="CU4" i="5"/>
  <c r="CR4" i="5"/>
  <c r="CU3" i="5"/>
  <c r="CR3" i="5"/>
  <c r="CU2" i="5"/>
  <c r="CR2" i="5"/>
  <c r="AD5" i="5" l="1"/>
  <c r="AA5" i="5"/>
  <c r="AD4" i="5"/>
  <c r="AA4" i="5"/>
  <c r="AD3" i="5"/>
  <c r="AA3" i="5"/>
  <c r="AD2" i="5"/>
  <c r="AA2" i="5"/>
  <c r="W5" i="5" l="1"/>
  <c r="T5" i="5"/>
  <c r="W4" i="5"/>
  <c r="T4" i="5"/>
  <c r="W3" i="5"/>
  <c r="T3" i="5"/>
  <c r="W2" i="5"/>
  <c r="T2" i="5"/>
  <c r="O4" i="5" l="1"/>
  <c r="O5" i="5" l="1"/>
  <c r="O7" i="5"/>
  <c r="O8" i="5"/>
  <c r="O9" i="5" l="1"/>
  <c r="O14" i="5"/>
  <c r="N14" i="5"/>
  <c r="M14" i="5"/>
  <c r="L14" i="5"/>
  <c r="K14" i="5"/>
  <c r="J14" i="5"/>
  <c r="I14" i="5"/>
  <c r="H14" i="5"/>
  <c r="G14" i="5"/>
  <c r="F14" i="5"/>
  <c r="E14" i="5"/>
  <c r="D14" i="5"/>
  <c r="P13" i="5"/>
  <c r="P12" i="5"/>
  <c r="P11" i="5"/>
  <c r="P10" i="5"/>
  <c r="N9" i="5"/>
  <c r="M9" i="5"/>
  <c r="L9" i="5"/>
  <c r="K9" i="5"/>
  <c r="J9" i="5"/>
  <c r="I9" i="5"/>
  <c r="H9" i="5"/>
  <c r="G9" i="5"/>
  <c r="F9" i="5"/>
  <c r="E9" i="5"/>
  <c r="D9" i="5"/>
  <c r="P7" i="5"/>
  <c r="P6" i="5"/>
  <c r="P5" i="5"/>
  <c r="P4" i="5"/>
  <c r="CH6" i="5" l="1"/>
  <c r="CN6" i="5"/>
  <c r="BA84" i="5" l="1"/>
  <c r="CA5" i="5" l="1"/>
  <c r="CA4" i="5"/>
  <c r="CA3" i="5"/>
  <c r="CA2" i="5"/>
  <c r="BX5" i="5"/>
  <c r="BX4" i="5"/>
  <c r="BX3" i="5"/>
  <c r="BX2" i="5"/>
  <c r="BT5" i="5"/>
  <c r="BT4" i="5"/>
  <c r="BT3" i="5"/>
  <c r="BT2" i="5"/>
  <c r="BQ5" i="5"/>
  <c r="BQ4" i="5"/>
  <c r="BQ3" i="5"/>
  <c r="BQ2" i="5"/>
  <c r="BM5" i="5"/>
  <c r="BM4" i="5"/>
  <c r="BM3" i="5"/>
  <c r="BM2" i="5"/>
  <c r="BJ5" i="5"/>
  <c r="BJ4" i="5"/>
  <c r="BJ3" i="5"/>
  <c r="BJ2" i="5"/>
  <c r="BF5" i="5"/>
  <c r="BF4" i="5"/>
  <c r="BF3" i="5"/>
  <c r="BF2" i="5"/>
  <c r="BB5" i="5"/>
  <c r="BB4" i="5"/>
  <c r="BB3" i="5"/>
  <c r="BB2" i="5"/>
  <c r="AY5" i="5"/>
  <c r="AY4" i="5"/>
  <c r="AY3" i="5"/>
  <c r="AY2" i="5"/>
  <c r="AV5" i="5"/>
  <c r="AV4" i="5"/>
  <c r="AV3" i="5"/>
  <c r="AV2" i="5"/>
  <c r="AR5" i="5"/>
  <c r="AR4" i="5"/>
  <c r="AR3" i="5"/>
  <c r="AR2" i="5"/>
  <c r="AO5" i="5"/>
  <c r="AO4" i="5"/>
  <c r="AO3" i="5"/>
  <c r="AO2" i="5"/>
  <c r="AK5" i="5"/>
  <c r="AK4" i="5"/>
  <c r="AK3" i="5"/>
  <c r="AK2" i="5"/>
  <c r="AH5" i="5"/>
  <c r="AH4" i="5"/>
  <c r="AH3" i="5"/>
  <c r="AH2" i="5"/>
  <c r="CN5" i="5"/>
  <c r="CN4" i="5"/>
  <c r="CN3" i="5"/>
  <c r="CN2" i="5"/>
  <c r="CK5" i="5"/>
  <c r="CK4" i="5"/>
  <c r="CK3" i="5"/>
  <c r="CK2" i="5"/>
  <c r="CH5" i="5"/>
  <c r="CH4" i="5"/>
  <c r="CH3" i="5"/>
  <c r="CH2" i="5"/>
  <c r="CE5" i="5"/>
  <c r="CE4" i="5"/>
  <c r="CE3" i="5"/>
  <c r="CE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Lensme</author>
  </authors>
  <commentList>
    <comment ref="B18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 xml:space="preserve">250107 </t>
        </r>
        <r>
          <rPr>
            <b/>
            <sz val="9"/>
            <color indexed="81"/>
            <rFont val="돋움"/>
            <family val="3"/>
            <charset val="129"/>
          </rPr>
          <t>매장이전으로
단독샵</t>
        </r>
        <r>
          <rPr>
            <b/>
            <sz val="9"/>
            <color indexed="81"/>
            <rFont val="Tahoma"/>
            <family val="2"/>
          </rPr>
          <t xml:space="preserve"> -&gt; </t>
        </r>
        <r>
          <rPr>
            <b/>
            <sz val="9"/>
            <color indexed="81"/>
            <rFont val="돋움"/>
            <family val="3"/>
            <charset val="129"/>
          </rPr>
          <t>샵앤샵</t>
        </r>
      </text>
    </comment>
  </commentList>
</comments>
</file>

<file path=xl/sharedStrings.xml><?xml version="1.0" encoding="utf-8"?>
<sst xmlns="http://schemas.openxmlformats.org/spreadsheetml/2006/main" count="3690" uniqueCount="1982">
  <si>
    <t>가맹점명</t>
  </si>
  <si>
    <t>지역</t>
  </si>
  <si>
    <t>가맹점 형태</t>
  </si>
  <si>
    <t>담당자</t>
  </si>
  <si>
    <t>월세</t>
  </si>
  <si>
    <t>아이웨어샵</t>
  </si>
  <si>
    <t>단독샵</t>
  </si>
  <si>
    <t>단독샵</t>
    <phoneticPr fontId="2" type="noConversion"/>
  </si>
  <si>
    <t>샵앤샵</t>
  </si>
  <si>
    <t>렌즈미 경성대점(129)</t>
  </si>
  <si>
    <t>경상남도</t>
  </si>
  <si>
    <t>렌즈미 계명대점(241)</t>
  </si>
  <si>
    <t>렌즈미 교대점(99)</t>
  </si>
  <si>
    <t>렌즈미 구미원평점(128)</t>
  </si>
  <si>
    <t>렌즈미 구미점(62)</t>
  </si>
  <si>
    <t>렌즈미 김해율하점(232)</t>
  </si>
  <si>
    <t>렌즈미 김해인제대점(144)</t>
  </si>
  <si>
    <t>렌즈미 김해점(263)</t>
  </si>
  <si>
    <t>렌즈미 대구동성로점(77)</t>
  </si>
  <si>
    <t>렌즈미 대구칠곡점(271)</t>
    <phoneticPr fontId="2" type="noConversion"/>
  </si>
  <si>
    <t>렌즈미 대전둔산점(151)</t>
  </si>
  <si>
    <t>렌즈미 대전복합터미널점(146)</t>
  </si>
  <si>
    <t>렌즈미 대전점(40)</t>
  </si>
  <si>
    <t>렌즈미 덕천점(261)</t>
  </si>
  <si>
    <t>렌즈미 동래점(245)</t>
  </si>
  <si>
    <t>렌즈미 동아대점(180)</t>
  </si>
  <si>
    <t>렌즈미 명일역점(252)</t>
  </si>
  <si>
    <t>렌즈미 문정점(257)</t>
  </si>
  <si>
    <t>렌즈미 밀양점(171)</t>
  </si>
  <si>
    <t>렌즈미 반여점(251)</t>
  </si>
  <si>
    <t>렌즈미 반월당점(247)</t>
  </si>
  <si>
    <t>렌즈미 부산남포점(32)</t>
  </si>
  <si>
    <t>렌즈미 부산대점(161)</t>
  </si>
  <si>
    <t>렌즈미 부산서면점(120)</t>
  </si>
  <si>
    <t>부산서면점</t>
  </si>
  <si>
    <t>렌즈미 부산영도점(267)</t>
  </si>
  <si>
    <t>렌즈미 북삼점(248)</t>
  </si>
  <si>
    <t>렌즈미 상인점(233)</t>
  </si>
  <si>
    <t>렌즈미 상주점(163)</t>
  </si>
  <si>
    <t>렌즈미 송파점(211)</t>
  </si>
  <si>
    <t>렌즈미 아산점(174)</t>
  </si>
  <si>
    <t>렌즈미 아산터미널점(256)</t>
  </si>
  <si>
    <t>렌즈미 압구정점(79)</t>
  </si>
  <si>
    <t>렌즈미 양재점(123)</t>
  </si>
  <si>
    <t>렌즈미 잠실지하상가점(198)</t>
  </si>
  <si>
    <t>렌즈미 천안두정점(153)</t>
  </si>
  <si>
    <t>렌즈미 천안불당점(249)</t>
  </si>
  <si>
    <t>렌즈미 천안쌍용점(105)</t>
  </si>
  <si>
    <t>렌즈미 천안점(76)</t>
  </si>
  <si>
    <t>렌즈미 천호점(95)</t>
  </si>
  <si>
    <t>렌즈미 해운대점(149)</t>
  </si>
  <si>
    <t>렌즈미 우이점(83)</t>
  </si>
  <si>
    <t>렌즈미 미아사거리점(74)</t>
  </si>
  <si>
    <t>렌즈미 종암점(117)</t>
  </si>
  <si>
    <t>렌즈미 고대점(42)</t>
  </si>
  <si>
    <t>렌즈미 석계역점(60)</t>
  </si>
  <si>
    <t>렌즈미 상계점(36)</t>
  </si>
  <si>
    <t>렌즈미 노원점(81)</t>
  </si>
  <si>
    <t>렌즈미 중계은행사거리점(259)</t>
  </si>
  <si>
    <t>렌즈미 중랑점(4)</t>
  </si>
  <si>
    <t>렌즈미 가경점(5)</t>
  </si>
  <si>
    <t>렌즈미 가능역점(28)</t>
  </si>
  <si>
    <t>렌즈미 가산디지털단지역점(268)</t>
  </si>
  <si>
    <t>렌즈미 건대로데오거리점(157)</t>
  </si>
  <si>
    <t>렌즈미 경희대점(102)</t>
  </si>
  <si>
    <t>렌즈미 구리2호점(47)</t>
  </si>
  <si>
    <t>렌즈미 김포점(67)</t>
  </si>
  <si>
    <t>렌즈미 낙성대점(100)</t>
  </si>
  <si>
    <t>렌즈미 난곡점(78)</t>
  </si>
  <si>
    <t>렌즈미 노량진점(97)</t>
  </si>
  <si>
    <t>렌즈미 당산점(34)</t>
  </si>
  <si>
    <t>렌즈미 당진점(65)</t>
  </si>
  <si>
    <t>렌즈미 발산점(173)</t>
  </si>
  <si>
    <t>렌즈미 보령점(226)</t>
  </si>
  <si>
    <t>렌즈미 상수까페거리점(177)</t>
  </si>
  <si>
    <t>서울 서북지역</t>
  </si>
  <si>
    <t>렌즈미 서울대점(192)</t>
  </si>
  <si>
    <t>렌즈미 서원대점(6)</t>
  </si>
  <si>
    <t>렌즈미 시흥사거리점(155)</t>
  </si>
  <si>
    <t>렌즈미 신림점(122)</t>
  </si>
  <si>
    <t>렌즈미 신정점(68)</t>
  </si>
  <si>
    <t>렌즈미 양주옥정점(236)</t>
  </si>
  <si>
    <t>렌즈미 연신내점(113)</t>
  </si>
  <si>
    <t>렌즈미 영등포점(138)</t>
  </si>
  <si>
    <t>렌즈미 오류역점(234)</t>
  </si>
  <si>
    <t>렌즈미 웨스턴돔(22)</t>
  </si>
  <si>
    <t>렌즈미 의정부점(16)</t>
  </si>
  <si>
    <t>렌즈미 의정부행복로점(242)</t>
  </si>
  <si>
    <t>렌즈미 일산라페스타점(111)</t>
  </si>
  <si>
    <t>렌즈미 일산중앙점(14)</t>
  </si>
  <si>
    <t>렌즈미 장안점(258)</t>
  </si>
  <si>
    <t>렌즈미 장현점(3)</t>
  </si>
  <si>
    <t>렌즈미 제기역점(164)</t>
  </si>
  <si>
    <t>렌즈미 중앙대점(216)</t>
  </si>
  <si>
    <t>렌즈미 청주로데오점(87)</t>
  </si>
  <si>
    <t>렌즈미 충북대점(7)</t>
  </si>
  <si>
    <t>렌즈미 파주운정점(150)</t>
  </si>
  <si>
    <t>렌즈미 포천송우점(152)</t>
  </si>
  <si>
    <t>렌즈미 호평점(141)</t>
  </si>
  <si>
    <t>렌즈미 홍대점(46)</t>
  </si>
  <si>
    <t>홍대점</t>
  </si>
  <si>
    <t>렌즈미 화곡점(54)</t>
  </si>
  <si>
    <t>렌즈미 화정점(130)</t>
  </si>
  <si>
    <t>렌즈미 안동점(133)</t>
  </si>
  <si>
    <t>렌즈미 포항점(142)</t>
  </si>
  <si>
    <t>렌즈미 경주점(225)</t>
  </si>
  <si>
    <t>렌즈미 울산삼산점(158)</t>
  </si>
  <si>
    <t>렌즈미 울산일산점(221)</t>
  </si>
  <si>
    <t>렌즈미 경기광주점(57)</t>
  </si>
  <si>
    <t>렌즈미 광주금호점(270)</t>
    <phoneticPr fontId="2" type="noConversion"/>
  </si>
  <si>
    <t>렌즈미 광주두암점(274)</t>
    <phoneticPr fontId="2" type="noConversion"/>
  </si>
  <si>
    <t>렌즈미 광주상무지구점(269)</t>
    <phoneticPr fontId="2" type="noConversion"/>
  </si>
  <si>
    <t>렌즈미 서신점(280)</t>
    <phoneticPr fontId="2" type="noConversion"/>
  </si>
  <si>
    <t>렌즈미 광주수완점(188)</t>
  </si>
  <si>
    <t>렌즈미 광주충장로점(55)</t>
  </si>
  <si>
    <t>렌즈미 광주황금점(107)</t>
  </si>
  <si>
    <t>단독샵</t>
    <phoneticPr fontId="3" type="noConversion"/>
  </si>
  <si>
    <t>렌즈미 군산수송점(147)</t>
  </si>
  <si>
    <t>렌즈미 김량장점(139)</t>
  </si>
  <si>
    <t>렌즈미 남원점(186)</t>
  </si>
  <si>
    <t>렌즈미 목포하당점(24)</t>
  </si>
  <si>
    <t>렌즈미 미금점(127)</t>
  </si>
  <si>
    <t>렌즈미 미사점(237)</t>
  </si>
  <si>
    <t>렌즈미 배곧신도시점(229)</t>
  </si>
  <si>
    <t>렌즈미 범계점(115)</t>
  </si>
  <si>
    <t>렌즈미 병점점(207)</t>
  </si>
  <si>
    <t>렌즈미 북수원점(140)</t>
  </si>
  <si>
    <t>렌즈미 산본점(37)</t>
  </si>
  <si>
    <t>렌즈미 상록수점(13)</t>
  </si>
  <si>
    <t>렌즈미 서현점(106)</t>
  </si>
  <si>
    <t>렌즈미 성남점(72)</t>
  </si>
  <si>
    <t>렌즈미 송탄점(200)</t>
  </si>
  <si>
    <t>렌즈미 수원권선점(265)</t>
  </si>
  <si>
    <t>렌즈미 수원로데오점(197)</t>
  </si>
  <si>
    <t>렌즈미 수원영통점(8)</t>
  </si>
  <si>
    <t>렌즈미 수원정자점(45)</t>
  </si>
  <si>
    <t>렌즈미 수지구청역점(213)</t>
  </si>
  <si>
    <t>렌즈미 순천연향점(204)</t>
  </si>
  <si>
    <t>렌즈미 순천용당점(264)</t>
  </si>
  <si>
    <t>렌즈미 순천점(104)</t>
  </si>
  <si>
    <t>렌즈미 시흥점(239)</t>
  </si>
  <si>
    <t>렌즈미 안산선부점(181)</t>
  </si>
  <si>
    <t>렌즈미 안산중앙점(49)</t>
  </si>
  <si>
    <t>렌즈미 안양1번가점(210)</t>
  </si>
  <si>
    <t>안양1번가점</t>
  </si>
  <si>
    <t>렌즈미 양평점(70)</t>
  </si>
  <si>
    <t>렌즈미 여수여천점(59)</t>
  </si>
  <si>
    <t>렌즈미 여수점(71)</t>
  </si>
  <si>
    <t>렌즈미 여주점(12)</t>
  </si>
  <si>
    <t>렌즈미 오산점(19)</t>
  </si>
  <si>
    <t>렌즈미 원광대점(96)</t>
  </si>
  <si>
    <t>렌즈미 익산롯데마트점(52)</t>
  </si>
  <si>
    <t>렌즈미 인계점(116)</t>
  </si>
  <si>
    <t>렌즈미 전남대점(160)</t>
  </si>
  <si>
    <t>렌즈미 전북대점(137)</t>
  </si>
  <si>
    <t>렌즈미 전주객사점(88)</t>
  </si>
  <si>
    <t>렌즈미 전주송천점(255)</t>
    <phoneticPr fontId="2" type="noConversion"/>
  </si>
  <si>
    <t>렌즈미 전주아중점(56)</t>
  </si>
  <si>
    <t>렌즈미 정읍점(69)</t>
  </si>
  <si>
    <t>렌즈미 첨단점(272)</t>
    <phoneticPr fontId="2" type="noConversion"/>
  </si>
  <si>
    <t>렌즈미 평택안중점(182)</t>
  </si>
  <si>
    <t>렌즈미 거제점(196)</t>
  </si>
  <si>
    <t>렌즈미 경상대점(275)</t>
    <phoneticPr fontId="2" type="noConversion"/>
  </si>
  <si>
    <t>렌즈미 구월점(86)</t>
  </si>
  <si>
    <t>인천광역시</t>
  </si>
  <si>
    <t>렌즈미 대학로점(125)</t>
  </si>
  <si>
    <t>렌즈미 동국대점(50)</t>
  </si>
  <si>
    <t>렌즈미 마산점(51)</t>
  </si>
  <si>
    <t>렌즈미 마산창동점(66)</t>
  </si>
  <si>
    <t>렌즈미 명동유네스코점(178)</t>
  </si>
  <si>
    <t>렌즈미 명동점(15)</t>
  </si>
  <si>
    <t>렌즈미 부개점(33)</t>
  </si>
  <si>
    <t>렌즈미 부천점(29)</t>
  </si>
  <si>
    <t>렌즈미 부평1번가점(189)</t>
  </si>
  <si>
    <t>부평1번가점</t>
  </si>
  <si>
    <t>렌즈미 부평점(30)</t>
  </si>
  <si>
    <t>렌즈미 숙대점(154)</t>
  </si>
  <si>
    <t>렌즈미 신중동점(277)</t>
    <phoneticPr fontId="2" type="noConversion"/>
  </si>
  <si>
    <t>렌즈미 역곡점(194)</t>
  </si>
  <si>
    <t>렌즈미 연수점(244)</t>
  </si>
  <si>
    <t>렌즈미 원종사거리점(230)</t>
  </si>
  <si>
    <t>렌즈미 인천검단점(44)</t>
  </si>
  <si>
    <t>인천검단점</t>
  </si>
  <si>
    <t>렌즈미 인천논현점(266)</t>
  </si>
  <si>
    <t>렌즈미 인천용현점(243)</t>
  </si>
  <si>
    <t>렌즈미 작전동점(134)</t>
  </si>
  <si>
    <t>렌즈미 주안점(110)</t>
  </si>
  <si>
    <t>렌즈미 진주점(135)</t>
  </si>
  <si>
    <t>렌즈미 진해점(90)</t>
  </si>
  <si>
    <t>렌즈미 창원상남점(132)</t>
  </si>
  <si>
    <t>렌즈미 창원용호점(195)</t>
  </si>
  <si>
    <t>렌즈미 통영점(172)</t>
  </si>
  <si>
    <t>렌즈미 강원대점(48)</t>
  </si>
  <si>
    <t>렌즈미 노형점(170)</t>
  </si>
  <si>
    <t>렌즈미 삼척점(159)</t>
  </si>
  <si>
    <t>렌즈미 속초점(281)</t>
    <phoneticPr fontId="2" type="noConversion"/>
  </si>
  <si>
    <t>렌즈미 신제주점(208)</t>
  </si>
  <si>
    <t>렌즈미 원주점(41)</t>
  </si>
  <si>
    <t>렌즈미 원주중앙점(246)</t>
  </si>
  <si>
    <t>렌즈미 제주시청점(222)</t>
  </si>
  <si>
    <t>렌즈미 제천점(250)</t>
  </si>
  <si>
    <t>렌즈미 춘천명동점(131)</t>
  </si>
  <si>
    <t>렌즈미 충주점(148)</t>
  </si>
  <si>
    <t>렌즈미 홍천점(80)</t>
  </si>
  <si>
    <t>주소</t>
    <phoneticPr fontId="3" type="noConversion"/>
  </si>
  <si>
    <t>렌즈미 광주진월점(282)</t>
    <phoneticPr fontId="3" type="noConversion"/>
  </si>
  <si>
    <t>경기도 광명시 광명로 886</t>
    <phoneticPr fontId="3" type="noConversion"/>
  </si>
  <si>
    <t>서울시 강남구 삼성동 140-22</t>
    <phoneticPr fontId="3" type="noConversion"/>
  </si>
  <si>
    <t>01월</t>
    <phoneticPr fontId="3" type="noConversion"/>
  </si>
  <si>
    <t>렌즈미 청주동남지구점(286)</t>
    <phoneticPr fontId="3" type="noConversion"/>
  </si>
  <si>
    <t>충북 청주시 상당구 중고개로 115 위너스프라자 1층</t>
    <phoneticPr fontId="3" type="noConversion"/>
  </si>
  <si>
    <t>상권</t>
    <phoneticPr fontId="3" type="noConversion"/>
  </si>
  <si>
    <t>위치</t>
    <phoneticPr fontId="3" type="noConversion"/>
  </si>
  <si>
    <t>상권2</t>
    <phoneticPr fontId="3" type="noConversion"/>
  </si>
  <si>
    <t>A</t>
    <phoneticPr fontId="3" type="noConversion"/>
  </si>
  <si>
    <t>B</t>
    <phoneticPr fontId="3" type="noConversion"/>
  </si>
  <si>
    <t>렌즈미 신대방삼거리점(288)</t>
  </si>
  <si>
    <t>글라스미</t>
    <phoneticPr fontId="3" type="noConversion"/>
  </si>
  <si>
    <t>동작구 보라매로 113 1층 106호</t>
    <phoneticPr fontId="3" type="noConversion"/>
  </si>
  <si>
    <t>04월</t>
    <phoneticPr fontId="3" type="noConversion"/>
  </si>
  <si>
    <t>렌즈미 평택역점(219)</t>
    <phoneticPr fontId="3" type="noConversion"/>
  </si>
  <si>
    <t>경기 평택시 중앙2로 13 평택동북합상가 101호</t>
    <phoneticPr fontId="3" type="noConversion"/>
  </si>
  <si>
    <t>렌즈미 선릉점(285)</t>
    <phoneticPr fontId="3" type="noConversion"/>
  </si>
  <si>
    <t>렌즈미 광명사거리점(283)</t>
    <phoneticPr fontId="3" type="noConversion"/>
  </si>
  <si>
    <t>경기 파주시 야당동 1056-3 이더펠리체 112호</t>
    <phoneticPr fontId="3" type="noConversion"/>
  </si>
  <si>
    <t>렌즈미 안산점(290)</t>
    <phoneticPr fontId="3" type="noConversion"/>
  </si>
  <si>
    <t>경기 남부지역</t>
    <phoneticPr fontId="3" type="noConversion"/>
  </si>
  <si>
    <t>단독샵</t>
    <phoneticPr fontId="3" type="noConversion"/>
  </si>
  <si>
    <t>경기도 안산시 단원구 중앙대로 907</t>
    <phoneticPr fontId="3" type="noConversion"/>
  </si>
  <si>
    <t>대전광역시 동구 은어송로59 두둥실 A 101호, 102호</t>
    <phoneticPr fontId="3" type="noConversion"/>
  </si>
  <si>
    <t>렌즈미 해운대구청점(292)</t>
    <phoneticPr fontId="3" type="noConversion"/>
  </si>
  <si>
    <t>부산 해운대구 중동2로 16</t>
    <phoneticPr fontId="3" type="noConversion"/>
  </si>
  <si>
    <t>08월</t>
    <phoneticPr fontId="3" type="noConversion"/>
  </si>
  <si>
    <t>09월</t>
    <phoneticPr fontId="3" type="noConversion"/>
  </si>
  <si>
    <t>쇼룸</t>
    <phoneticPr fontId="3" type="noConversion"/>
  </si>
  <si>
    <t>O</t>
    <phoneticPr fontId="3" type="noConversion"/>
  </si>
  <si>
    <t>X</t>
    <phoneticPr fontId="3" type="noConversion"/>
  </si>
  <si>
    <t>렌즈미 송도점(294)</t>
    <phoneticPr fontId="3" type="noConversion"/>
  </si>
  <si>
    <t>렌즈미 신갈점(295)</t>
    <phoneticPr fontId="3" type="noConversion"/>
  </si>
  <si>
    <t>경기도 용인시 기흥구 신갈로 58번길 25</t>
  </si>
  <si>
    <t>웅천동 1710-2번지 1층</t>
    <phoneticPr fontId="3" type="noConversion"/>
  </si>
  <si>
    <t>대구광역시 서구 팔달로 174</t>
    <phoneticPr fontId="3" type="noConversion"/>
  </si>
  <si>
    <t>렌즈미 중동현대점(118)</t>
    <phoneticPr fontId="3" type="noConversion"/>
  </si>
  <si>
    <t>B</t>
  </si>
  <si>
    <t>BB</t>
  </si>
  <si>
    <t>충청북도 청주시 흥덕구 가경동 1515번지</t>
  </si>
  <si>
    <t xml:space="preserve">경기도 의정부시 가능1동 646번지 </t>
  </si>
  <si>
    <t>A</t>
  </si>
  <si>
    <t>AB</t>
  </si>
  <si>
    <t>서울시 금천구 벚꽃로 286 리더스타워 B123호</t>
  </si>
  <si>
    <t xml:space="preserve">대전 서구 가수원동 1052번지 105호 </t>
  </si>
  <si>
    <t>서울특별시 강남구 역삼동 814-6</t>
  </si>
  <si>
    <t>BA</t>
  </si>
  <si>
    <t>강원도 춘천시 서부대성로 239 (효자동)</t>
  </si>
  <si>
    <t>서울특별시 광진구 아차산로30길 7, 1층(자양동)</t>
  </si>
  <si>
    <t>경기도 광주시 중앙로 84 (역동)</t>
  </si>
  <si>
    <t>대구광역시 북구 대학로 85(산격동)</t>
  </si>
  <si>
    <t>경상남도 진주시 진주대로 526 센텀빌딩1층</t>
  </si>
  <si>
    <t>부산광역시 남구 대연동 68-1</t>
  </si>
  <si>
    <t>경상북도 경주시 계림로 106(황오동)</t>
  </si>
  <si>
    <t>서울특별시 동대문구 경희대로 4, 1층 102호(회기동)</t>
  </si>
  <si>
    <t>대구광역시 달서구 계대동문로 1</t>
  </si>
  <si>
    <t>서울특별시 성북구 안암동 5가 146-18</t>
  </si>
  <si>
    <t>광주광역시 서구 화개1로 81</t>
  </si>
  <si>
    <t>광주 동구 갈마로 54</t>
  </si>
  <si>
    <t>광주광역 서구 상무중앙로 71</t>
  </si>
  <si>
    <t>광주광역시 광산구 장신로 134, 1층 105호(수완동)</t>
  </si>
  <si>
    <t>광주광역시 서문대로 686 1층 102호</t>
  </si>
  <si>
    <t>광주광역시 동구 중앙로 160번길 12-1,1층(황금동)</t>
  </si>
  <si>
    <t>경기도 구리시 경춘로 224 (수택동,보광빌딩1층)</t>
  </si>
  <si>
    <t>경북 구미시 구미중앙로 21길 1</t>
  </si>
  <si>
    <t>경상북도 구미시 인동가산로 14, 105(진평동, 시네마월드)</t>
  </si>
  <si>
    <t>인천광역시 남동구 인하로 497-15, 102호 (구월동)</t>
  </si>
  <si>
    <t>전라북도 군산시 월명로 254, 1층 106호(수송동,더모나코빌딩)</t>
  </si>
  <si>
    <t>경기도 용인시 처인구 금령로 103</t>
  </si>
  <si>
    <t>경기도 김포시 김포대로 841 (사우동,1층(사우동,제우스프라자))</t>
  </si>
  <si>
    <t>김해시 율하동 1336-2</t>
  </si>
  <si>
    <t>경상남도 김해시 어방동 461-9</t>
  </si>
  <si>
    <t>김해시 내외로 80 옥정프라자 1층</t>
  </si>
  <si>
    <t>서울특별시 관악구 남부순환로 1924 동림오피스텔</t>
  </si>
  <si>
    <t>서울특별시 관악구 난곡로 196 1층(신림동)</t>
  </si>
  <si>
    <t>전라북도 남원시 큰들2길 21(도통동)</t>
  </si>
  <si>
    <t>서울특별시 동작구 만양로 94 (노량진동)</t>
  </si>
  <si>
    <t>서울특별시 노원구 노해로 491, 103호(상계동, 중앙빌딩)</t>
  </si>
  <si>
    <t>제주특별자치도 제주시 1100로 3347, 1층(노형동)</t>
  </si>
  <si>
    <t>서울시 영등포구 당산동 5가 42 삼성래미안아파트상가 109-2호</t>
  </si>
  <si>
    <t>충청남도 당진시 읍내동 299-2</t>
  </si>
  <si>
    <t>대구광역시 중구 동성로6길 19(공평동)</t>
  </si>
  <si>
    <t>대구 북구 동천로 133</t>
  </si>
  <si>
    <t>대전광역시 서구 둔산동 1064번지 1층</t>
  </si>
  <si>
    <t>대전광역시 동구 동서대로 1695번길 12,1층(용전동)</t>
  </si>
  <si>
    <t>서울시 종로구 명륜4가 54-1 1층</t>
  </si>
  <si>
    <t>부산광역시 북구 덕천동 403-7</t>
  </si>
  <si>
    <t>부신시 동래구 명장로 142</t>
  </si>
  <si>
    <t>부산광역시 사하구 낙동대로516번길 48, 상가12호(하단동, 에덴아파트)</t>
  </si>
  <si>
    <t>경상남도 마산시 합성동 85-26</t>
  </si>
  <si>
    <t>경남 마산 합포 창 8-15</t>
  </si>
  <si>
    <t>서울특별시 중구 남대문로 지하 72 (남대문로2가,명동지하상가라-13)</t>
  </si>
  <si>
    <t>명일동 324-1번지 1022 1부</t>
  </si>
  <si>
    <t>전라남도 목포시 상동 1000  안경명가</t>
  </si>
  <si>
    <t>송파구 문정동 651 테라타워 G 130호</t>
  </si>
  <si>
    <t>경기도 하남시 미사강변대로 80</t>
  </si>
  <si>
    <t>서울특별시 성북구 길음동 31-1</t>
  </si>
  <si>
    <t>부산 해운대구 재반로 229 1층</t>
  </si>
  <si>
    <t>대구 광역시 중구 달구별대로 2100 지하 c-317호</t>
  </si>
  <si>
    <t>경기도 시흥시 배곧3로 96, 133호(정왕동, M-플러스)</t>
  </si>
  <si>
    <t>경기도 안양시 동안구 평촌대로223번길 65, 1층 106호(호계동)</t>
  </si>
  <si>
    <t>충청남도 보령시 중앙로 61(대천동)</t>
  </si>
  <si>
    <t>부산광역시 중구 구덕로 12-1(남포동1가, 남포역내지사상가9호,10호)</t>
  </si>
  <si>
    <t>부산광역시 금정구 금정로68번길 34, 1층(장전동)</t>
  </si>
  <si>
    <t>부산진구 부전동 194-5</t>
  </si>
  <si>
    <t>부산시 영도구 절영로 55</t>
  </si>
  <si>
    <t>인천광역시 부평구 시장로 18, 1층(부평동)</t>
  </si>
  <si>
    <t>경북 칠곡군 북삼읍 인평3리 192-2</t>
  </si>
  <si>
    <t>경기도 군포시 산본동 1138-2 성훈빌딩 102,103,104호</t>
  </si>
  <si>
    <t>강원도 삼척시 중앙시장길 53-45 1층 1호(남양동)</t>
  </si>
  <si>
    <t>서울특별시 노원구 한글비석로 396 (상계동, 벽산상가108동1층21호,22호,23호)</t>
  </si>
  <si>
    <t>서울특별시 마포구 양화로6길 65(서교동)</t>
  </si>
  <si>
    <t>대구광역시 달서구 월베로 183,106동 401,402,403호</t>
  </si>
  <si>
    <t>경상북도 상주시 무양동 291-5 (상주시 삼백로 83)</t>
  </si>
  <si>
    <t>전주시 완산구 서신로 103</t>
  </si>
  <si>
    <t>서울특별시 관악구 관악로 154, 103호(봉천동, 대도빌딩)</t>
  </si>
  <si>
    <t>충청북도 청주시 서원구 서원남로 43(모충동)</t>
  </si>
  <si>
    <t>경기도 성남시 분당구 황새울로360번길 22, 114호(서현동, 영건프라자)</t>
  </si>
  <si>
    <t>서울특별시 성북구 석관동 133-1</t>
  </si>
  <si>
    <t>경기도 성남시 수정구 수정로 180 (신흥동, 1층)</t>
  </si>
  <si>
    <t>서울특별시 성북구 동소문로20가길 12, 1층 101-8호 (동선동1가)</t>
  </si>
  <si>
    <t>강원도 속초시 중앙동 24</t>
  </si>
  <si>
    <t>경기도 평택시 특구로 20(서정동)</t>
  </si>
  <si>
    <t>서울특별시 송파구 가락로 168, 1층 102호(송파동, 부성빌딩)</t>
  </si>
  <si>
    <t>경기도 수원시 팔달구 향교로 4-1(매산로1가)</t>
  </si>
  <si>
    <t>경기도 수원시장안구 대평로 86 (정자동, 화이트쇼핑몰 107,108,109호)</t>
  </si>
  <si>
    <t>경기도 용인시 수지구 풍덕천로 122, 2층 213호(풍덕천동, 하나로프라자)</t>
  </si>
  <si>
    <t>전라남도 순천시 연향3로 27, 104호(연향동)</t>
  </si>
  <si>
    <t>전라남도 순천시 중앙6길 4-1, 1층(중앙동)</t>
  </si>
  <si>
    <t xml:space="preserve">서울특별시 금천구 금하로 633-1(시흥동)    </t>
  </si>
  <si>
    <t>경기도 시흥시 중심상가 3길 12</t>
  </si>
  <si>
    <t>서울시 관악구 신림동 1640-44 45 48 필지</t>
  </si>
  <si>
    <t>서울특별시 양천구 신정동 1031-5</t>
  </si>
  <si>
    <t>제주특별자치도 제주시 신광로 40(연동)</t>
  </si>
  <si>
    <t>경기도 부천시 중동 1140-2</t>
  </si>
  <si>
    <t>충남 아산시 번영로 224 1층</t>
  </si>
  <si>
    <t>경상북도 안동시 문화광장길 5, 102호 (남문동)</t>
  </si>
  <si>
    <t>경기도 안산시 단원구 선부광장1로 62, 106호(선부동, 동원상가빌딩)</t>
  </si>
  <si>
    <t>경기도 안산시 단원구 고잔동 539-1 전원빌딩 1층</t>
  </si>
  <si>
    <t>경기도 양주시 회천남로 92, 113호,114호 (옥정동, 센타프라자)</t>
  </si>
  <si>
    <t>전라남도 여수시 학동 83-20</t>
  </si>
  <si>
    <t>전라남도 여수시 충무동 628-9</t>
  </si>
  <si>
    <t>인천광역시 연수구 청능대로 210 (동춘동, 스퀘어원 1층 르망안경</t>
  </si>
  <si>
    <t>서울특별시 은평구 연서로29길 8, 106호(갈현동)</t>
  </si>
  <si>
    <t>서울특별시 영등포구 영등포동 4가 432-14</t>
  </si>
  <si>
    <t>서울시 구로구 오류1동 40-1</t>
  </si>
  <si>
    <t>서울특별시 도봉구 삼양로 590(쌍문동)</t>
  </si>
  <si>
    <t>울산광역시 남구 돋질로306번길 32, 1층(삼산동)</t>
  </si>
  <si>
    <t>울산광역시 동구 방어진순환도로 619, 1층(일산동)</t>
  </si>
  <si>
    <t>전라북도 익산시 익산대로 58길 28, 1층 (신동)</t>
  </si>
  <si>
    <t>경기도 부천시 소사로 742, 103호 104호 (원종동, 세라메디컬센터)</t>
  </si>
  <si>
    <t>강원도 원주시 남원로534번길 18 (단구동)</t>
  </si>
  <si>
    <t>강원도 원주시 원일로 115번길 12 서진빌딩 1층</t>
  </si>
  <si>
    <t>경기도 고양일산동구 장항동 847 웅신아트 107 피카소안경원</t>
  </si>
  <si>
    <t>경기도 의정부시 의정부동 194-3번지</t>
  </si>
  <si>
    <t>경기도 수원시 팔달구 인계로166번길 48-21, 103호(인계동, 인계사르망)</t>
  </si>
  <si>
    <t>인천광역시 서구 완정로 179 104(왕길동, 5제이원검단메디컬프라자)</t>
  </si>
  <si>
    <t>인천광역시 남동구 논현동 632-1번지 칼리오페 제A동 105호</t>
  </si>
  <si>
    <t>인천광역시 남구 독배로 405, 1,2층(용현동)</t>
  </si>
  <si>
    <t xml:space="preserve"> 경기도 고양시 일산동구 중앙로 1275번길 60-14, 102호(장항동, 고일프라자)</t>
  </si>
  <si>
    <t>경기도 고양시 일산서구 주엽동 136 대우레시티상가 1층</t>
  </si>
  <si>
    <t>인천시 계양구 작전동 901-4 한샘프라자 104호</t>
  </si>
  <si>
    <t>서울특별시 송파구 올림픽로 지하 265, 지하층 C-20호</t>
  </si>
  <si>
    <t>서울특별시 동대문구 답십리로 294, 1층(장안동)</t>
  </si>
  <si>
    <t>경기도 남양주시 진접읍 장현로 84</t>
  </si>
  <si>
    <t>광주광역시 북구 우치로 98, 1층 3호(용봉동)</t>
  </si>
  <si>
    <t>전라북도 전주시 덕진구 명륜4길 11 ( 덕진동 1가)</t>
  </si>
  <si>
    <t>전라북도 전주시 완산구 전주객사5길 43-18 (고사동)</t>
  </si>
  <si>
    <t>전북 전주시 덕진구 천마산로 44</t>
  </si>
  <si>
    <t>전라북도 전주시 덕진구 건산로 225(인후동1가,외1필지한돌빌딩)</t>
  </si>
  <si>
    <t xml:space="preserve">전라북도 정읍시 초산로 84(수성동)     </t>
  </si>
  <si>
    <t>서울특별시 동대문구 왕산로 86, 106호(용두동, 동대문푸르지오시티 오피스텔동)</t>
  </si>
  <si>
    <t>제주특별자치도 제주시 신성로13길 3(이도이동)</t>
  </si>
  <si>
    <t>충북 제천시 의림대로 179</t>
  </si>
  <si>
    <t>서울특별시 성북구 종암로 107, 1층 (종암동, 광성빌딩)</t>
  </si>
  <si>
    <t>인천광역시 남구 주안로 지하 86, 6,7호(주안동, 주안역 지하도상가)</t>
  </si>
  <si>
    <t>서울특별시 노원구 한글비석로 242, 120호(중계동, 삼부프라자)</t>
  </si>
  <si>
    <t>서울특별시 중랑구 상봉동 129-11</t>
  </si>
  <si>
    <t>경상남도 진주시 진양호로 531번길 7 (대안동)</t>
  </si>
  <si>
    <t>경상남도 창원시 진해구 진해대로 762, 1층 147-1호 (석동, 미래쇼핑센터)</t>
  </si>
  <si>
    <t>경상남도 창원시 성산구 마디미로 21번길 8 미리내빌딩</t>
  </si>
  <si>
    <t>경상남도 창원시 의창구 용지로153번길 2, 1층 103호(용호동, 덕산빌딩)</t>
  </si>
  <si>
    <t>충청남도 천안시 서북구 두정로 166, 1층(두정동)</t>
  </si>
  <si>
    <t>충남 천안시 서북구 불당25로 192 골든주차타워 1층</t>
  </si>
  <si>
    <t>충청남도 천안시 서북구 월봉로 86, 1층 104호(쌍용동)</t>
  </si>
  <si>
    <t>충청남도 천안시 동남구 먹거리 11길 26, 1층 (신부동)</t>
  </si>
  <si>
    <t>서울특별시 강동구 천호대로 157길 23, 1층 (천호동)</t>
  </si>
  <si>
    <t>광주 광산구 첨단중앙로 96 월계동 889-2</t>
  </si>
  <si>
    <t>충청북도 청주시 상당구 사직대로 362번길 23, 1층(북문로1가)</t>
  </si>
  <si>
    <t>강원도 춘천시 금강로 65-4 지하상가 라열 28호</t>
  </si>
  <si>
    <t>충청북도 청주시 서원구 모충로25번길 3, 1층(개신동)</t>
  </si>
  <si>
    <t>충청북도 충주시 성서8길 27-1 2호</t>
  </si>
  <si>
    <t>경상남도 통영시 중앙로 293, 1층(북신동)</t>
  </si>
  <si>
    <t>경기도 파주시 목동동 941-1번지 107호</t>
  </si>
  <si>
    <t>경기도 평택시 안중읍 안현로서6길 66</t>
  </si>
  <si>
    <t>경기도 포천시 소흘읍 송우리 105-8</t>
  </si>
  <si>
    <t>부산광역시 해운대구 해운대로 802 좌2동 1479-1 웅신시네아트 151호</t>
  </si>
  <si>
    <t>서울특별시 마포구 어울마당로 110-1 (서교동, 1층일부)</t>
  </si>
  <si>
    <t>강원도 홍천군 홍천읍 번영로 16</t>
  </si>
  <si>
    <t>서울시 강서구 화곡로 143 (화곡동, 1층)</t>
  </si>
  <si>
    <t>경기도 고양시 덕양구 화정동 980-1 미주프라자 105호</t>
  </si>
  <si>
    <t>렌즈미 야당역점(289)</t>
    <phoneticPr fontId="3" type="noConversion"/>
  </si>
  <si>
    <t>렌즈미 대전가오점(291)</t>
    <phoneticPr fontId="3" type="noConversion"/>
  </si>
  <si>
    <t>렌즈미 여수웅천점(297)</t>
    <phoneticPr fontId="3" type="noConversion"/>
  </si>
  <si>
    <t>렌즈미 동두천점(296)</t>
    <phoneticPr fontId="3" type="noConversion"/>
  </si>
  <si>
    <t>렌즈미 울산달동점(299)</t>
    <phoneticPr fontId="3" type="noConversion"/>
  </si>
  <si>
    <t>경기 동두천시 중앙로 125 영스포렉스 113호</t>
    <phoneticPr fontId="3" type="noConversion"/>
  </si>
  <si>
    <t>렌즈미 천안성정점(300)</t>
    <phoneticPr fontId="3" type="noConversion"/>
  </si>
  <si>
    <t>충청남도 천안시 서북구 동서대로 165</t>
    <phoneticPr fontId="3" type="noConversion"/>
  </si>
  <si>
    <t>렌즈미 대구두류점(301)</t>
  </si>
  <si>
    <t>렌즈미 루원시티점(303)</t>
  </si>
  <si>
    <t>렌즈미 양원점(304)</t>
    <phoneticPr fontId="3" type="noConversion"/>
  </si>
  <si>
    <t>렌즈미 울산성남점(305)</t>
    <phoneticPr fontId="3" type="noConversion"/>
  </si>
  <si>
    <t>울산광역시 중구 젊음의거리 72(성남동)</t>
  </si>
  <si>
    <t>서울특별시 중랑구 양원역로 10길 3 103호, 104호</t>
  </si>
  <si>
    <t>인천광역시 서구 가정로 437, 301동 B101호</t>
  </si>
  <si>
    <t>대구광역시 달구벌대로 1827 두류아울렛 E열 6호</t>
  </si>
  <si>
    <t>광주신창점</t>
    <phoneticPr fontId="3" type="noConversion"/>
  </si>
  <si>
    <t>광주광역시 광산구 신창로 118</t>
  </si>
  <si>
    <t>렌즈미 광주신창점(306)</t>
    <phoneticPr fontId="3" type="noConversion"/>
  </si>
  <si>
    <t>렌즈미 이천점(309)</t>
    <phoneticPr fontId="3" type="noConversion"/>
  </si>
  <si>
    <t>경기도 이천시 서희로 60번길 6-1,1층</t>
    <phoneticPr fontId="3" type="noConversion"/>
  </si>
  <si>
    <t>렌즈미 시흥은계점(310)</t>
    <phoneticPr fontId="3" type="noConversion"/>
  </si>
  <si>
    <t>경기도 시흥시 은계남로 12, 143호</t>
    <phoneticPr fontId="3" type="noConversion"/>
  </si>
  <si>
    <t>강원도 원주시 능라동길 31</t>
    <phoneticPr fontId="3" type="noConversion"/>
  </si>
  <si>
    <t>플래그십</t>
    <phoneticPr fontId="3" type="noConversion"/>
  </si>
  <si>
    <t/>
  </si>
  <si>
    <t>V</t>
  </si>
  <si>
    <t>렌즈미 원주무실점(308)</t>
    <phoneticPr fontId="3" type="noConversion"/>
  </si>
  <si>
    <t>렌즈미 경북대점(224)</t>
    <phoneticPr fontId="3" type="noConversion"/>
  </si>
  <si>
    <t>03월</t>
    <phoneticPr fontId="3" type="noConversion"/>
  </si>
  <si>
    <t>충남대점</t>
    <phoneticPr fontId="3" type="noConversion"/>
  </si>
  <si>
    <t>가로수길점</t>
    <phoneticPr fontId="3" type="noConversion"/>
  </si>
  <si>
    <t>07월</t>
    <phoneticPr fontId="3" type="noConversion"/>
  </si>
  <si>
    <t>가맹점 수</t>
    <phoneticPr fontId="3" type="noConversion"/>
  </si>
  <si>
    <t>글라스미</t>
    <phoneticPr fontId="3" type="noConversion"/>
  </si>
  <si>
    <t>샵앤샵</t>
    <phoneticPr fontId="3" type="noConversion"/>
  </si>
  <si>
    <t>단독샵</t>
    <phoneticPr fontId="3" type="noConversion"/>
  </si>
  <si>
    <t>아이웨어샵</t>
    <phoneticPr fontId="3" type="noConversion"/>
  </si>
  <si>
    <t>글라스미</t>
    <phoneticPr fontId="3" type="noConversion"/>
  </si>
  <si>
    <t>글라스미</t>
    <phoneticPr fontId="3" type="noConversion"/>
  </si>
  <si>
    <t>글라스미</t>
    <phoneticPr fontId="3" type="noConversion"/>
  </si>
  <si>
    <t>가맹점 형태</t>
    <phoneticPr fontId="3" type="noConversion"/>
  </si>
  <si>
    <t>평택점</t>
    <phoneticPr fontId="12" type="noConversion"/>
  </si>
  <si>
    <t>전농동점</t>
    <phoneticPr fontId="12" type="noConversion"/>
  </si>
  <si>
    <t>장림점</t>
    <phoneticPr fontId="12" type="noConversion"/>
  </si>
  <si>
    <t>신내동점</t>
    <phoneticPr fontId="12" type="noConversion"/>
  </si>
  <si>
    <t>울산점</t>
    <phoneticPr fontId="12" type="noConversion"/>
  </si>
  <si>
    <t>고양점</t>
    <phoneticPr fontId="12" type="noConversion"/>
  </si>
  <si>
    <t>울산대점</t>
    <phoneticPr fontId="12" type="noConversion"/>
  </si>
  <si>
    <t>송도점</t>
    <phoneticPr fontId="12" type="noConversion"/>
  </si>
  <si>
    <t>익산점</t>
    <phoneticPr fontId="12" type="noConversion"/>
  </si>
  <si>
    <t>신천점</t>
    <phoneticPr fontId="12" type="noConversion"/>
  </si>
  <si>
    <t>한양대점</t>
    <phoneticPr fontId="12" type="noConversion"/>
  </si>
  <si>
    <t>구로디지털점</t>
    <phoneticPr fontId="12" type="noConversion"/>
  </si>
  <si>
    <t>명동로데오점</t>
    <phoneticPr fontId="12" type="noConversion"/>
  </si>
  <si>
    <t>경남대점</t>
    <phoneticPr fontId="12" type="noConversion"/>
  </si>
  <si>
    <t>02월</t>
    <phoneticPr fontId="3" type="noConversion"/>
  </si>
  <si>
    <t>04월</t>
    <phoneticPr fontId="3" type="noConversion"/>
  </si>
  <si>
    <t>05월</t>
    <phoneticPr fontId="3" type="noConversion"/>
  </si>
  <si>
    <t>08월</t>
    <phoneticPr fontId="3" type="noConversion"/>
  </si>
  <si>
    <t>09월</t>
    <phoneticPr fontId="3" type="noConversion"/>
  </si>
  <si>
    <t>10월</t>
    <phoneticPr fontId="3" type="noConversion"/>
  </si>
  <si>
    <t>12월</t>
    <phoneticPr fontId="3" type="noConversion"/>
  </si>
  <si>
    <t>폐업 가맹점</t>
    <phoneticPr fontId="3" type="noConversion"/>
  </si>
  <si>
    <t>2021년</t>
    <phoneticPr fontId="3" type="noConversion"/>
  </si>
  <si>
    <t>순천연향점</t>
    <phoneticPr fontId="12" type="noConversion"/>
  </si>
  <si>
    <t>명동점</t>
    <phoneticPr fontId="12" type="noConversion"/>
  </si>
  <si>
    <t>선릉점</t>
    <phoneticPr fontId="12" type="noConversion"/>
  </si>
  <si>
    <t>가산디지털단지</t>
    <phoneticPr fontId="12" type="noConversion"/>
  </si>
  <si>
    <t>미사역점</t>
    <phoneticPr fontId="12" type="noConversion"/>
  </si>
  <si>
    <t>청주동남지구점</t>
    <phoneticPr fontId="12" type="noConversion"/>
  </si>
  <si>
    <t>노량진점</t>
    <phoneticPr fontId="12" type="noConversion"/>
  </si>
  <si>
    <t>대전세이백화점</t>
    <phoneticPr fontId="12" type="noConversion"/>
  </si>
  <si>
    <t>미아사거리점</t>
    <phoneticPr fontId="12" type="noConversion"/>
  </si>
  <si>
    <t>양주옥정점</t>
    <phoneticPr fontId="12" type="noConversion"/>
  </si>
  <si>
    <t>의정부행복로점</t>
    <phoneticPr fontId="12" type="noConversion"/>
  </si>
  <si>
    <t>종암점</t>
    <phoneticPr fontId="12" type="noConversion"/>
  </si>
  <si>
    <t>성신여대점</t>
    <phoneticPr fontId="12" type="noConversion"/>
  </si>
  <si>
    <t>숙대점</t>
    <phoneticPr fontId="12" type="noConversion"/>
  </si>
  <si>
    <t>대학로점</t>
    <phoneticPr fontId="12" type="noConversion"/>
  </si>
  <si>
    <t>수원권선점</t>
    <phoneticPr fontId="12" type="noConversion"/>
  </si>
  <si>
    <t>가경점</t>
    <phoneticPr fontId="12" type="noConversion"/>
  </si>
  <si>
    <t>신대방삼거리점</t>
    <phoneticPr fontId="12" type="noConversion"/>
  </si>
  <si>
    <t>일산라페스타점</t>
    <phoneticPr fontId="12" type="noConversion"/>
  </si>
  <si>
    <t>김해점</t>
    <phoneticPr fontId="12" type="noConversion"/>
  </si>
  <si>
    <t>부산대점</t>
    <phoneticPr fontId="12" type="noConversion"/>
  </si>
  <si>
    <t>구월절</t>
    <phoneticPr fontId="12" type="noConversion"/>
  </si>
  <si>
    <t>당산점</t>
    <phoneticPr fontId="12" type="noConversion"/>
  </si>
  <si>
    <t>광주수완점</t>
    <phoneticPr fontId="12" type="noConversion"/>
  </si>
  <si>
    <t>수지구청점</t>
    <phoneticPr fontId="12" type="noConversion"/>
  </si>
  <si>
    <t>서귀포점</t>
    <phoneticPr fontId="12" type="noConversion"/>
  </si>
  <si>
    <t>제주시청점</t>
    <phoneticPr fontId="12" type="noConversion"/>
  </si>
  <si>
    <t>창원용호점</t>
    <phoneticPr fontId="12" type="noConversion"/>
  </si>
  <si>
    <t>마산점</t>
    <phoneticPr fontId="12" type="noConversion"/>
  </si>
  <si>
    <t>반여점</t>
    <phoneticPr fontId="12" type="noConversion"/>
  </si>
  <si>
    <t>부산남포점</t>
    <phoneticPr fontId="12" type="noConversion"/>
  </si>
  <si>
    <t>중랑점</t>
    <phoneticPr fontId="12" type="noConversion"/>
  </si>
  <si>
    <t>원종사거리점</t>
    <phoneticPr fontId="12" type="noConversion"/>
  </si>
  <si>
    <t>대전점</t>
    <phoneticPr fontId="12" type="noConversion"/>
  </si>
  <si>
    <t>야당점</t>
    <phoneticPr fontId="12" type="noConversion"/>
  </si>
  <si>
    <t>안산점</t>
    <phoneticPr fontId="12" type="noConversion"/>
  </si>
  <si>
    <t>대전가오점</t>
    <phoneticPr fontId="12" type="noConversion"/>
  </si>
  <si>
    <t xml:space="preserve">해운대구청점 </t>
    <phoneticPr fontId="12" type="noConversion"/>
  </si>
  <si>
    <t>김해인제대점</t>
    <phoneticPr fontId="12" type="noConversion"/>
  </si>
  <si>
    <t>방화사거리점</t>
    <phoneticPr fontId="12" type="noConversion"/>
  </si>
  <si>
    <t>포항점</t>
    <phoneticPr fontId="12" type="noConversion"/>
  </si>
  <si>
    <t>신갈점</t>
    <phoneticPr fontId="12" type="noConversion"/>
  </si>
  <si>
    <t>동두천점</t>
    <phoneticPr fontId="12" type="noConversion"/>
  </si>
  <si>
    <t>충주점</t>
    <phoneticPr fontId="12" type="noConversion"/>
  </si>
  <si>
    <t>여수웅천점</t>
    <phoneticPr fontId="12" type="noConversion"/>
  </si>
  <si>
    <t>팔달시장점</t>
    <phoneticPr fontId="12" type="noConversion"/>
  </si>
  <si>
    <t>02월</t>
    <phoneticPr fontId="3" type="noConversion"/>
  </si>
  <si>
    <t>04월</t>
    <phoneticPr fontId="3" type="noConversion"/>
  </si>
  <si>
    <t>05월</t>
    <phoneticPr fontId="3" type="noConversion"/>
  </si>
  <si>
    <t>06월</t>
    <phoneticPr fontId="3" type="noConversion"/>
  </si>
  <si>
    <t>07월</t>
    <phoneticPr fontId="3" type="noConversion"/>
  </si>
  <si>
    <t>08월</t>
    <phoneticPr fontId="3" type="noConversion"/>
  </si>
  <si>
    <t>10월</t>
    <phoneticPr fontId="3" type="noConversion"/>
  </si>
  <si>
    <t>11월</t>
    <phoneticPr fontId="3" type="noConversion"/>
  </si>
  <si>
    <t>12월</t>
    <phoneticPr fontId="3" type="noConversion"/>
  </si>
  <si>
    <t>오픈/글라스미 전환 가맹점</t>
    <phoneticPr fontId="3" type="noConversion"/>
  </si>
  <si>
    <t>가맹점 명</t>
    <phoneticPr fontId="3" type="noConversion"/>
  </si>
  <si>
    <t>2022년</t>
    <phoneticPr fontId="3" type="noConversion"/>
  </si>
  <si>
    <t>오픈/글라스미 전환 가맹점</t>
    <phoneticPr fontId="3" type="noConversion"/>
  </si>
  <si>
    <t>가맹점 명</t>
    <phoneticPr fontId="3" type="noConversion"/>
  </si>
  <si>
    <t>가맹점 명</t>
    <phoneticPr fontId="3" type="noConversion"/>
  </si>
  <si>
    <t>울산달동점</t>
    <phoneticPr fontId="12" type="noConversion"/>
  </si>
  <si>
    <t>순천점</t>
    <phoneticPr fontId="12" type="noConversion"/>
  </si>
  <si>
    <t>천안성정점</t>
    <phoneticPr fontId="12" type="noConversion"/>
  </si>
  <si>
    <t>대구두류점</t>
    <phoneticPr fontId="12" type="noConversion"/>
  </si>
  <si>
    <t>인천서창점</t>
    <phoneticPr fontId="12" type="noConversion"/>
  </si>
  <si>
    <t>인천루원시티점</t>
    <phoneticPr fontId="12" type="noConversion"/>
  </si>
  <si>
    <t>양원점</t>
    <phoneticPr fontId="12" type="noConversion"/>
  </si>
  <si>
    <t>울산성남점</t>
    <phoneticPr fontId="12" type="noConversion"/>
  </si>
  <si>
    <t>전북대점</t>
    <phoneticPr fontId="12" type="noConversion"/>
  </si>
  <si>
    <t>익산모현점</t>
    <phoneticPr fontId="12" type="noConversion"/>
  </si>
  <si>
    <t>이천점</t>
    <phoneticPr fontId="12" type="noConversion"/>
  </si>
  <si>
    <t>시흥은계점</t>
    <phoneticPr fontId="12" type="noConversion"/>
  </si>
  <si>
    <t>04월</t>
    <phoneticPr fontId="3" type="noConversion"/>
  </si>
  <si>
    <t>05월</t>
    <phoneticPr fontId="3" type="noConversion"/>
  </si>
  <si>
    <t>07월</t>
    <phoneticPr fontId="3" type="noConversion"/>
  </si>
  <si>
    <t>09월</t>
    <phoneticPr fontId="3" type="noConversion"/>
  </si>
  <si>
    <t>10월</t>
    <phoneticPr fontId="3" type="noConversion"/>
  </si>
  <si>
    <t>배곧신도시점</t>
    <phoneticPr fontId="3" type="noConversion"/>
  </si>
  <si>
    <t>01월</t>
    <phoneticPr fontId="3" type="noConversion"/>
  </si>
  <si>
    <t>02월</t>
    <phoneticPr fontId="3" type="noConversion"/>
  </si>
  <si>
    <t>03월</t>
    <phoneticPr fontId="3" type="noConversion"/>
  </si>
  <si>
    <t>06월</t>
    <phoneticPr fontId="3" type="noConversion"/>
  </si>
  <si>
    <t>이천점</t>
    <phoneticPr fontId="3" type="noConversion"/>
  </si>
  <si>
    <t>강릉점</t>
    <phoneticPr fontId="3" type="noConversion"/>
  </si>
  <si>
    <t>용인역북점</t>
    <phoneticPr fontId="3" type="noConversion"/>
  </si>
  <si>
    <t>날짜</t>
    <phoneticPr fontId="3" type="noConversion"/>
  </si>
  <si>
    <t>날짜</t>
    <phoneticPr fontId="3" type="noConversion"/>
  </si>
  <si>
    <t>날짜</t>
    <phoneticPr fontId="3" type="noConversion"/>
  </si>
  <si>
    <t>날짜</t>
    <phoneticPr fontId="3" type="noConversion"/>
  </si>
  <si>
    <t>11월</t>
    <phoneticPr fontId="3" type="noConversion"/>
  </si>
  <si>
    <t>인천서창점</t>
    <phoneticPr fontId="3" type="noConversion"/>
  </si>
  <si>
    <t>글라스미</t>
    <phoneticPr fontId="3" type="noConversion"/>
  </si>
  <si>
    <t>까치산역점</t>
    <phoneticPr fontId="3" type="noConversion"/>
  </si>
  <si>
    <t>서울특별시 강서구 강서로 35</t>
    <phoneticPr fontId="3" type="noConversion"/>
  </si>
  <si>
    <t>V</t>
    <phoneticPr fontId="3" type="noConversion"/>
  </si>
  <si>
    <t>경기도 남양주시 별내3로 322 107호,108호</t>
    <phoneticPr fontId="3" type="noConversion"/>
  </si>
  <si>
    <t>별내점</t>
    <phoneticPr fontId="3" type="noConversion"/>
  </si>
  <si>
    <t>렌즈미 까치산역점(312)</t>
    <phoneticPr fontId="3" type="noConversion"/>
  </si>
  <si>
    <t>렌즈미 별내점(311)</t>
    <phoneticPr fontId="3" type="noConversion"/>
  </si>
  <si>
    <t>경상북도 포항시 북구 불종로 50-1</t>
    <phoneticPr fontId="3" type="noConversion"/>
  </si>
  <si>
    <t>12월</t>
    <phoneticPr fontId="3" type="noConversion"/>
  </si>
  <si>
    <t>2023년</t>
    <phoneticPr fontId="3" type="noConversion"/>
  </si>
  <si>
    <t xml:space="preserve">마산삼계점 </t>
    <phoneticPr fontId="3" type="noConversion"/>
  </si>
  <si>
    <t>천안청당점</t>
    <phoneticPr fontId="3" type="noConversion"/>
  </si>
  <si>
    <t xml:space="preserve">전주삼천점 </t>
    <phoneticPr fontId="3" type="noConversion"/>
  </si>
  <si>
    <t>샵앤샵</t>
    <phoneticPr fontId="3" type="noConversion"/>
  </si>
  <si>
    <t>충청남도 천안시 동남구 청당5로 36</t>
    <phoneticPr fontId="3" type="noConversion"/>
  </si>
  <si>
    <t>03월 28일</t>
    <phoneticPr fontId="3" type="noConversion"/>
  </si>
  <si>
    <t>03월 31일</t>
    <phoneticPr fontId="3" type="noConversion"/>
  </si>
  <si>
    <t>2월 17일</t>
    <phoneticPr fontId="3" type="noConversion"/>
  </si>
  <si>
    <t>2월 17일</t>
    <phoneticPr fontId="3" type="noConversion"/>
  </si>
  <si>
    <t>글라스미</t>
    <phoneticPr fontId="3" type="noConversion"/>
  </si>
  <si>
    <t>렌즈미 팔달시장점(298)</t>
    <phoneticPr fontId="3" type="noConversion"/>
  </si>
  <si>
    <t>제주점</t>
    <phoneticPr fontId="3" type="noConversion"/>
  </si>
  <si>
    <t>이수점</t>
    <phoneticPr fontId="3" type="noConversion"/>
  </si>
  <si>
    <t>04월 11일</t>
    <phoneticPr fontId="3" type="noConversion"/>
  </si>
  <si>
    <t>원흥역점</t>
    <phoneticPr fontId="3" type="noConversion"/>
  </si>
  <si>
    <t>04월 21일</t>
    <phoneticPr fontId="3" type="noConversion"/>
  </si>
  <si>
    <t>렌즈미 천안청당점(313)</t>
    <phoneticPr fontId="3" type="noConversion"/>
  </si>
  <si>
    <t>렌즈미 원흥역점(314)</t>
    <phoneticPr fontId="3" type="noConversion"/>
  </si>
  <si>
    <t>샵앤샵</t>
    <phoneticPr fontId="3" type="noConversion"/>
  </si>
  <si>
    <t>렌즈미 경남대점(315)</t>
    <phoneticPr fontId="3" type="noConversion"/>
  </si>
  <si>
    <t>경남대점</t>
    <phoneticPr fontId="3" type="noConversion"/>
  </si>
  <si>
    <t>경상남도 창원시 마산합포구 월영동 4길 1 ( 해운동, 참사랑한의원 )</t>
    <phoneticPr fontId="3" type="noConversion"/>
  </si>
  <si>
    <t>경기도 고양시 덕양구 권율대로 668 1층 ( 원흥동, 티오피클래식 )</t>
    <phoneticPr fontId="3" type="noConversion"/>
  </si>
  <si>
    <t>05월 04일</t>
    <phoneticPr fontId="3" type="noConversion"/>
  </si>
  <si>
    <t>05월 26일</t>
    <phoneticPr fontId="3" type="noConversion"/>
  </si>
  <si>
    <t>순천용당점</t>
    <phoneticPr fontId="3" type="noConversion"/>
  </si>
  <si>
    <t>06월 21일</t>
    <phoneticPr fontId="3" type="noConversion"/>
  </si>
  <si>
    <t>미금점</t>
    <phoneticPr fontId="3" type="noConversion"/>
  </si>
  <si>
    <t>05월 04일</t>
    <phoneticPr fontId="3" type="noConversion"/>
  </si>
  <si>
    <t>가맹점 형태</t>
    <phoneticPr fontId="3" type="noConversion"/>
  </si>
  <si>
    <t>가맹점 형태</t>
    <phoneticPr fontId="3" type="noConversion"/>
  </si>
  <si>
    <t>가맹점 형태</t>
    <phoneticPr fontId="3" type="noConversion"/>
  </si>
  <si>
    <t>단독샵</t>
    <phoneticPr fontId="3" type="noConversion"/>
  </si>
  <si>
    <t>아이웨어샵</t>
    <phoneticPr fontId="3" type="noConversion"/>
  </si>
  <si>
    <t>샵앤샵</t>
    <phoneticPr fontId="3" type="noConversion"/>
  </si>
  <si>
    <t>아이웨어샵</t>
    <phoneticPr fontId="3" type="noConversion"/>
  </si>
  <si>
    <t>단독샵</t>
    <phoneticPr fontId="3" type="noConversion"/>
  </si>
  <si>
    <t>단독샵</t>
    <phoneticPr fontId="3" type="noConversion"/>
  </si>
  <si>
    <t>단독샵</t>
    <phoneticPr fontId="3" type="noConversion"/>
  </si>
  <si>
    <t>샵앤샵</t>
    <phoneticPr fontId="3" type="noConversion"/>
  </si>
  <si>
    <t>글라스미</t>
    <phoneticPr fontId="3" type="noConversion"/>
  </si>
  <si>
    <t>샵앤샵</t>
    <phoneticPr fontId="3" type="noConversion"/>
  </si>
  <si>
    <t>단독샵</t>
    <phoneticPr fontId="3" type="noConversion"/>
  </si>
  <si>
    <t xml:space="preserve">글라스미 </t>
    <phoneticPr fontId="3" type="noConversion"/>
  </si>
  <si>
    <t>글라스미</t>
    <phoneticPr fontId="3" type="noConversion"/>
  </si>
  <si>
    <t>샵앤샵</t>
    <phoneticPr fontId="3" type="noConversion"/>
  </si>
  <si>
    <t>글라스미</t>
    <phoneticPr fontId="3" type="noConversion"/>
  </si>
  <si>
    <t>샵앤샵</t>
    <phoneticPr fontId="3" type="noConversion"/>
  </si>
  <si>
    <t>아이웨어샵</t>
    <phoneticPr fontId="3" type="noConversion"/>
  </si>
  <si>
    <t>단독샵</t>
    <phoneticPr fontId="3" type="noConversion"/>
  </si>
  <si>
    <t>단독샵</t>
    <phoneticPr fontId="3" type="noConversion"/>
  </si>
  <si>
    <t>단독샵</t>
    <phoneticPr fontId="3" type="noConversion"/>
  </si>
  <si>
    <t>06월</t>
    <phoneticPr fontId="3" type="noConversion"/>
  </si>
  <si>
    <t>단독샵</t>
    <phoneticPr fontId="3" type="noConversion"/>
  </si>
  <si>
    <t>아이웨어샵</t>
    <phoneticPr fontId="3" type="noConversion"/>
  </si>
  <si>
    <t>글라스미</t>
    <phoneticPr fontId="3" type="noConversion"/>
  </si>
  <si>
    <t>샵앤샵</t>
    <phoneticPr fontId="3" type="noConversion"/>
  </si>
  <si>
    <t>가맹점 수</t>
    <phoneticPr fontId="3" type="noConversion"/>
  </si>
  <si>
    <t>09월 06일</t>
    <phoneticPr fontId="3" type="noConversion"/>
  </si>
  <si>
    <t>렌즈미 고척점(10)</t>
  </si>
  <si>
    <t>렌즈미 안양점(11)</t>
  </si>
  <si>
    <t>렌즈미 이대점(18)</t>
  </si>
  <si>
    <t>렌즈미 수원역점(20)</t>
  </si>
  <si>
    <t>렌즈미 익산점(21)</t>
  </si>
  <si>
    <t>03월 13일</t>
    <phoneticPr fontId="3" type="noConversion"/>
  </si>
  <si>
    <t>04월 05일</t>
    <phoneticPr fontId="3" type="noConversion"/>
  </si>
  <si>
    <t>렌즈미 중계점(25)</t>
  </si>
  <si>
    <t>렌즈미 목동점(26)</t>
  </si>
  <si>
    <t>렌즈미 공주대점(27)</t>
  </si>
  <si>
    <t>렌즈미 구월점(31)</t>
  </si>
  <si>
    <t>렌즈미 마석점(35)</t>
  </si>
  <si>
    <t>렌즈미 강서구청점(38)</t>
  </si>
  <si>
    <t>렌즈미 광주운암점(39)</t>
  </si>
  <si>
    <t>렌즈미 중계은행사거리점(53)</t>
  </si>
  <si>
    <t>10월 23일</t>
    <phoneticPr fontId="3" type="noConversion"/>
  </si>
  <si>
    <t>렌즈미 한양대점(58)</t>
  </si>
  <si>
    <t>렌즈미 종로점(61)</t>
  </si>
  <si>
    <t>렌즈미 전농동점(63)</t>
  </si>
  <si>
    <t>렌즈미 마들점(64)</t>
  </si>
  <si>
    <t>01월 07일</t>
    <phoneticPr fontId="3" type="noConversion"/>
  </si>
  <si>
    <t>01월 05일</t>
    <phoneticPr fontId="3" type="noConversion"/>
  </si>
  <si>
    <t>렌즈미 구로디지털점(73)</t>
  </si>
  <si>
    <t>렌즈미 제주점(75)</t>
  </si>
  <si>
    <t>렌즈미 인천논현점(82)</t>
  </si>
  <si>
    <t>04월 14일</t>
    <phoneticPr fontId="3" type="noConversion"/>
  </si>
  <si>
    <t>렌즈미 평택점(84)</t>
  </si>
  <si>
    <t>렌즈미 울산점(85)</t>
  </si>
  <si>
    <t>렌즈미 강동점(89)</t>
  </si>
  <si>
    <t>렌즈미 동인천역점(91)</t>
  </si>
  <si>
    <t>렌즈미 모란점(92)</t>
  </si>
  <si>
    <t>렌즈미 창원대방점(93)</t>
  </si>
  <si>
    <t>렌즈미 서귀포점(94)</t>
  </si>
  <si>
    <t>렌즈미 음성금왕점(98)</t>
  </si>
  <si>
    <t>렌즈미 순천점(23)</t>
  </si>
  <si>
    <t>렌즈미 명동로데오점(101)</t>
  </si>
  <si>
    <t>렌즈미 의정부민락점(103)</t>
  </si>
  <si>
    <t>렌즈미 원주혁신점(108)</t>
  </si>
  <si>
    <t>렌즈미 신도림점(109)</t>
  </si>
  <si>
    <t>렌즈미 남포광복점(112)</t>
  </si>
  <si>
    <t>렌즈미 신내동점(114)</t>
  </si>
  <si>
    <t>렌즈미 중동현대점(118)</t>
  </si>
  <si>
    <t>렌즈미 김포구래점(119)</t>
  </si>
  <si>
    <t>렌즈미 이수점(121)</t>
  </si>
  <si>
    <t>렌즈미 광명사거리역점(124)</t>
  </si>
  <si>
    <t>렌즈미 울산공업탑점(126)</t>
  </si>
  <si>
    <t>렌즈미 강릉점(136)</t>
  </si>
  <si>
    <t>렌즈미 명동대사관점(143)</t>
  </si>
  <si>
    <t>렌즈미 신천점(145)</t>
  </si>
  <si>
    <t>렌즈미 경남대점(156)</t>
  </si>
  <si>
    <t>렌즈미 철산점(166)</t>
  </si>
  <si>
    <t>렌즈미 검단사거리점(167)</t>
  </si>
  <si>
    <t>렌즈미 계산역점(162)</t>
  </si>
  <si>
    <t>렌즈미 파주금촌점(165)</t>
  </si>
  <si>
    <t>렌즈미 이천점(168)</t>
  </si>
  <si>
    <t>렌즈미 김해점(169)</t>
  </si>
  <si>
    <t>렌즈미 분당정자점(175)</t>
  </si>
  <si>
    <t>렌즈미 고양점(176)</t>
  </si>
  <si>
    <t>03월 14일</t>
    <phoneticPr fontId="3" type="noConversion"/>
  </si>
  <si>
    <t>렌즈미 장림점(179)</t>
  </si>
  <si>
    <t>렌즈미 강남CGV점(183)</t>
  </si>
  <si>
    <t>렌즈미 가로수길점(184)</t>
  </si>
  <si>
    <t>렌즈미 대구칠곡점(185)</t>
  </si>
  <si>
    <t>렌즈미 전주삼천점(187)</t>
  </si>
  <si>
    <t>렌즈미 남대문점(190)</t>
  </si>
  <si>
    <t>렌즈미 신촌점(191)</t>
  </si>
  <si>
    <t>렌즈미 예산점(193)</t>
  </si>
  <si>
    <t>렌즈미 양산점(199)</t>
  </si>
  <si>
    <t>렌즈미 사가정점(201)</t>
  </si>
  <si>
    <t>렌즈미 김포장기점(202)</t>
  </si>
  <si>
    <t>렌즈미 충남대점(203)</t>
  </si>
  <si>
    <t>06월 13일</t>
    <phoneticPr fontId="3" type="noConversion"/>
  </si>
  <si>
    <t>렌즈미 세종점(205)</t>
  </si>
  <si>
    <t>렌즈미 아주대점(206)</t>
  </si>
  <si>
    <t>렌즈미 오창점(209)</t>
  </si>
  <si>
    <t>07월 04일</t>
    <phoneticPr fontId="3" type="noConversion"/>
  </si>
  <si>
    <t>렌즈미 송도점(212)</t>
  </si>
  <si>
    <t>렌즈미 동대문점(214)</t>
  </si>
  <si>
    <t>렌즈미 하남점(215)</t>
  </si>
  <si>
    <t>06월 22일</t>
    <phoneticPr fontId="3" type="noConversion"/>
  </si>
  <si>
    <t>렌즈미 인천모래내점(217)</t>
  </si>
  <si>
    <t>렌즈미 서산점(218)</t>
  </si>
  <si>
    <t>렌즈미 평택역점(219)</t>
  </si>
  <si>
    <t>렌즈미 울산호계점(220)</t>
  </si>
  <si>
    <t>렌즈미 홍성점(223)</t>
  </si>
  <si>
    <t>렌즈미 경북대점(224)</t>
  </si>
  <si>
    <t>렌즈미 울산대점(227)</t>
  </si>
  <si>
    <t>렌즈미 광주상무지구점(228)</t>
  </si>
  <si>
    <t>렌즈미 전주신시가지점(231)</t>
  </si>
  <si>
    <t>02월 09일</t>
    <phoneticPr fontId="3" type="noConversion"/>
  </si>
  <si>
    <t>렌즈미 청라점(235)</t>
  </si>
  <si>
    <t>03월 27일</t>
    <phoneticPr fontId="3" type="noConversion"/>
  </si>
  <si>
    <t>03월 29일</t>
    <phoneticPr fontId="3" type="noConversion"/>
  </si>
  <si>
    <t>렌즈미 가수원점(238)</t>
  </si>
  <si>
    <t>렌즈미 동대문2호점(240)</t>
  </si>
  <si>
    <t>05월 17일</t>
    <phoneticPr fontId="3" type="noConversion"/>
  </si>
  <si>
    <t>06월 02일</t>
    <phoneticPr fontId="3" type="noConversion"/>
  </si>
  <si>
    <t>06월 10일</t>
    <phoneticPr fontId="3" type="noConversion"/>
  </si>
  <si>
    <t>07월 20일</t>
    <phoneticPr fontId="3" type="noConversion"/>
  </si>
  <si>
    <t>08월 29일</t>
    <phoneticPr fontId="3" type="noConversion"/>
  </si>
  <si>
    <t>12월 13일</t>
    <phoneticPr fontId="3" type="noConversion"/>
  </si>
  <si>
    <t>12월 20일</t>
    <phoneticPr fontId="3" type="noConversion"/>
  </si>
  <si>
    <t>01월 29일</t>
    <phoneticPr fontId="3" type="noConversion"/>
  </si>
  <si>
    <t>렌즈미 고속터미널점(253)</t>
  </si>
  <si>
    <t>02월 15일</t>
    <phoneticPr fontId="3" type="noConversion"/>
  </si>
  <si>
    <t>렌즈미 마산삼계점(254)</t>
  </si>
  <si>
    <t>02월 28일</t>
    <phoneticPr fontId="3" type="noConversion"/>
  </si>
  <si>
    <t>렌즈미 전주송천점(255)</t>
  </si>
  <si>
    <t>03월 08일</t>
    <phoneticPr fontId="3" type="noConversion"/>
  </si>
  <si>
    <t>03월 25일</t>
    <phoneticPr fontId="3" type="noConversion"/>
  </si>
  <si>
    <t>05월 15일</t>
    <phoneticPr fontId="3" type="noConversion"/>
  </si>
  <si>
    <t>05월 29일</t>
    <phoneticPr fontId="3" type="noConversion"/>
  </si>
  <si>
    <t>08월 23일</t>
    <phoneticPr fontId="3" type="noConversion"/>
  </si>
  <si>
    <t>렌즈미 용인역북점(260)</t>
  </si>
  <si>
    <t>09월 05일</t>
    <phoneticPr fontId="3" type="noConversion"/>
  </si>
  <si>
    <t>10월 02일</t>
    <phoneticPr fontId="3" type="noConversion"/>
  </si>
  <si>
    <t>렌즈미 신라점(262)</t>
  </si>
  <si>
    <t>11월 02일</t>
    <phoneticPr fontId="3" type="noConversion"/>
  </si>
  <si>
    <t>11월 29일</t>
    <phoneticPr fontId="3" type="noConversion"/>
  </si>
  <si>
    <t>12월 20일</t>
    <phoneticPr fontId="3" type="noConversion"/>
  </si>
  <si>
    <t>04월 09일</t>
    <phoneticPr fontId="3" type="noConversion"/>
  </si>
  <si>
    <t>05월 07일</t>
    <phoneticPr fontId="3" type="noConversion"/>
  </si>
  <si>
    <t>05월 02일</t>
    <phoneticPr fontId="3" type="noConversion"/>
  </si>
  <si>
    <t>렌즈미 광주상무지구점(269)</t>
  </si>
  <si>
    <t>06월 01일</t>
    <phoneticPr fontId="3" type="noConversion"/>
  </si>
  <si>
    <t>렌즈미 광주금호점(270)</t>
  </si>
  <si>
    <t>06월 17일</t>
    <phoneticPr fontId="3" type="noConversion"/>
  </si>
  <si>
    <t>렌즈미 대구칠곡점(271)</t>
  </si>
  <si>
    <t>07월 07일</t>
    <phoneticPr fontId="3" type="noConversion"/>
  </si>
  <si>
    <t>렌즈미 첨단점(272)</t>
  </si>
  <si>
    <t>07월 14일</t>
    <phoneticPr fontId="3" type="noConversion"/>
  </si>
  <si>
    <t>렌즈미 강남cgv점(273)</t>
  </si>
  <si>
    <t>07월 16일</t>
    <phoneticPr fontId="3" type="noConversion"/>
  </si>
  <si>
    <t>렌즈미 광주두암점(274)</t>
  </si>
  <si>
    <t>07월 28일</t>
    <phoneticPr fontId="3" type="noConversion"/>
  </si>
  <si>
    <t>렌즈미 경상대점(275)</t>
  </si>
  <si>
    <t>07월 31일</t>
    <phoneticPr fontId="3" type="noConversion"/>
  </si>
  <si>
    <t>렌즈미 미사역점(276)</t>
  </si>
  <si>
    <t>08월 05일</t>
    <phoneticPr fontId="3" type="noConversion"/>
  </si>
  <si>
    <t>렌즈미 신중동점(277)</t>
  </si>
  <si>
    <t>08월 13일</t>
    <phoneticPr fontId="3" type="noConversion"/>
  </si>
  <si>
    <t>렌즈미 의정부민락점(278)</t>
  </si>
  <si>
    <t>08월 18일</t>
    <phoneticPr fontId="3" type="noConversion"/>
  </si>
  <si>
    <t>렌즈미 동래역점(279)</t>
  </si>
  <si>
    <t>09월 02일</t>
    <phoneticPr fontId="3" type="noConversion"/>
  </si>
  <si>
    <t>렌즈미 서신점(280)</t>
  </si>
  <si>
    <t>10월 21일</t>
    <phoneticPr fontId="3" type="noConversion"/>
  </si>
  <si>
    <t>렌즈미 속초점(281)</t>
  </si>
  <si>
    <t>12월 04일</t>
    <phoneticPr fontId="3" type="noConversion"/>
  </si>
  <si>
    <t>렌즈미 광주진월점(282)</t>
  </si>
  <si>
    <t>12월 23일</t>
    <phoneticPr fontId="3" type="noConversion"/>
  </si>
  <si>
    <t>렌즈미 광명사거리점(283)</t>
  </si>
  <si>
    <t>01월 04일</t>
  </si>
  <si>
    <t>01월 07일</t>
  </si>
  <si>
    <t>01월 11일</t>
  </si>
  <si>
    <t>01월 18일</t>
  </si>
  <si>
    <t>01월 05일</t>
  </si>
  <si>
    <t>01월 24일</t>
  </si>
  <si>
    <t>02월 02일</t>
  </si>
  <si>
    <t>02월 03일</t>
  </si>
  <si>
    <t>02월 16일</t>
  </si>
  <si>
    <t>02월 21일</t>
  </si>
  <si>
    <t>02월 24일</t>
  </si>
  <si>
    <t>02월 25일</t>
  </si>
  <si>
    <t>03월 02일</t>
  </si>
  <si>
    <t>03월 07일</t>
  </si>
  <si>
    <t>03월 14일</t>
  </si>
  <si>
    <t>01월 12일</t>
  </si>
  <si>
    <t>03월 16일</t>
  </si>
  <si>
    <t>03월 18일</t>
  </si>
  <si>
    <t>03월 24일</t>
  </si>
  <si>
    <t>03월 09일</t>
  </si>
  <si>
    <t>04월 04일</t>
  </si>
  <si>
    <t>03월 21일</t>
  </si>
  <si>
    <t>04월 12일</t>
  </si>
  <si>
    <t>04월 14일</t>
  </si>
  <si>
    <t>04월 17일</t>
  </si>
  <si>
    <t>04월 22일</t>
  </si>
  <si>
    <t>04월 28일</t>
  </si>
  <si>
    <t>04월 29일</t>
  </si>
  <si>
    <t>03월 31일</t>
  </si>
  <si>
    <t>05월 09일</t>
  </si>
  <si>
    <t>05월 10일</t>
  </si>
  <si>
    <t>05월 16일</t>
  </si>
  <si>
    <t>05월 24일</t>
  </si>
  <si>
    <t>05월 25일</t>
  </si>
  <si>
    <t>05월 30일</t>
  </si>
  <si>
    <t>05월 18일</t>
  </si>
  <si>
    <t>06월 09일</t>
  </si>
  <si>
    <t>06월 13일</t>
  </si>
  <si>
    <t>05월 15일</t>
  </si>
  <si>
    <t>06월 16일</t>
  </si>
  <si>
    <t>05월 23일</t>
  </si>
  <si>
    <t>06월 23일</t>
  </si>
  <si>
    <t>07월 04일</t>
  </si>
  <si>
    <t>07월 06일</t>
  </si>
  <si>
    <t>05월 19일</t>
  </si>
  <si>
    <t>07월 12일</t>
  </si>
  <si>
    <t>06월 21일</t>
  </si>
  <si>
    <t>07월 27일</t>
  </si>
  <si>
    <t>06월 22일</t>
  </si>
  <si>
    <t>06월 03일</t>
  </si>
  <si>
    <t>08월 04일</t>
  </si>
  <si>
    <t>08월 23일</t>
  </si>
  <si>
    <t>08월 25일</t>
  </si>
  <si>
    <t>08월 31일</t>
  </si>
  <si>
    <t>09월 15일</t>
  </si>
  <si>
    <t>09월 21일</t>
  </si>
  <si>
    <t>09월 26일</t>
  </si>
  <si>
    <t>10월 20일</t>
  </si>
  <si>
    <t>10월 18일</t>
  </si>
  <si>
    <t>10월 01일</t>
  </si>
  <si>
    <t>10월 28일</t>
  </si>
  <si>
    <t>11월 02일</t>
  </si>
  <si>
    <t>11월 27일</t>
  </si>
  <si>
    <t>12월 21일</t>
  </si>
  <si>
    <t>12월 28일</t>
  </si>
  <si>
    <t>01월 15일</t>
  </si>
  <si>
    <t>01월 31일</t>
  </si>
  <si>
    <t>02월 23일</t>
  </si>
  <si>
    <t>03월 13일</t>
  </si>
  <si>
    <t>04월 01일</t>
  </si>
  <si>
    <t>04월 25일</t>
  </si>
  <si>
    <t>03월 28일</t>
  </si>
  <si>
    <t>05월 02일</t>
  </si>
  <si>
    <t>04월 13일</t>
  </si>
  <si>
    <t>04월 21일</t>
  </si>
  <si>
    <t>04월 26일</t>
  </si>
  <si>
    <t>05월 11일</t>
  </si>
  <si>
    <t>06월 18일</t>
  </si>
  <si>
    <t>06월 24일</t>
  </si>
  <si>
    <t>07월 08일</t>
  </si>
  <si>
    <t>07월 14일</t>
  </si>
  <si>
    <t>07월 18일</t>
  </si>
  <si>
    <t>07월 23일</t>
  </si>
  <si>
    <t>08월 03일</t>
  </si>
  <si>
    <t>08월 20일</t>
  </si>
  <si>
    <t>08월 30일</t>
  </si>
  <si>
    <t>09월 03일</t>
  </si>
  <si>
    <t>09월 07일</t>
  </si>
  <si>
    <t>09월 10일</t>
  </si>
  <si>
    <t>10월 06일</t>
  </si>
  <si>
    <t>10월 11일</t>
  </si>
  <si>
    <t>10월 15일</t>
  </si>
  <si>
    <t>10월 19일</t>
  </si>
  <si>
    <t>10월 21일</t>
  </si>
  <si>
    <t>10월 22일</t>
  </si>
  <si>
    <t>10월 29일</t>
  </si>
  <si>
    <t>11월 01일</t>
  </si>
  <si>
    <t>11월 03일</t>
  </si>
  <si>
    <t>11월 12일</t>
  </si>
  <si>
    <t>11월 18일</t>
  </si>
  <si>
    <t>11월 19일</t>
  </si>
  <si>
    <t>11월 30일</t>
  </si>
  <si>
    <t>12월 01일</t>
  </si>
  <si>
    <t>12월 03일</t>
  </si>
  <si>
    <t>12월 07일</t>
  </si>
  <si>
    <t>11월 29일</t>
  </si>
  <si>
    <t>12월 15일</t>
  </si>
  <si>
    <t>12월 05일</t>
  </si>
  <si>
    <t>12월 27일</t>
  </si>
  <si>
    <t>12월 29일</t>
  </si>
  <si>
    <t>01월 08일</t>
  </si>
  <si>
    <t>01월 28일</t>
  </si>
  <si>
    <t>01월 03일</t>
  </si>
  <si>
    <t>02월 06일</t>
  </si>
  <si>
    <t>03월 25일</t>
  </si>
  <si>
    <t>03월 19일</t>
  </si>
  <si>
    <t>04월 08일</t>
  </si>
  <si>
    <t>07월 17일</t>
  </si>
  <si>
    <t>08월 06일</t>
  </si>
  <si>
    <t>05월 01일</t>
  </si>
  <si>
    <t>09월 22일</t>
  </si>
  <si>
    <t>10월 16일</t>
  </si>
  <si>
    <t>11월 15일</t>
  </si>
  <si>
    <t>12월 09일</t>
  </si>
  <si>
    <t>12월 14일</t>
  </si>
  <si>
    <t>01월 16일</t>
  </si>
  <si>
    <t>02월 17일</t>
  </si>
  <si>
    <t>04월 05일</t>
  </si>
  <si>
    <t>04월 16일</t>
  </si>
  <si>
    <t>05월 28일</t>
  </si>
  <si>
    <t>05월 29일</t>
  </si>
  <si>
    <t>06월 07일</t>
  </si>
  <si>
    <t>06월 01일</t>
  </si>
  <si>
    <t>06월 27일</t>
  </si>
  <si>
    <t>07월 30일</t>
  </si>
  <si>
    <t>08월 05일</t>
  </si>
  <si>
    <t>08월 08일</t>
  </si>
  <si>
    <t>08월 22일</t>
  </si>
  <si>
    <t>09월 01일</t>
  </si>
  <si>
    <t>10월 14일</t>
  </si>
  <si>
    <t>10월 23일</t>
  </si>
  <si>
    <t>10월 13일</t>
  </si>
  <si>
    <t>11월 06일</t>
  </si>
  <si>
    <t>11월 22일</t>
  </si>
  <si>
    <t>11월 07일</t>
  </si>
  <si>
    <t>12월 17일</t>
  </si>
  <si>
    <t>08월</t>
    <phoneticPr fontId="3" type="noConversion"/>
  </si>
  <si>
    <t>02월</t>
    <phoneticPr fontId="3" type="noConversion"/>
  </si>
  <si>
    <t>12월</t>
    <phoneticPr fontId="3" type="noConversion"/>
  </si>
  <si>
    <t>01월</t>
    <phoneticPr fontId="3" type="noConversion"/>
  </si>
  <si>
    <t>02월</t>
    <phoneticPr fontId="3" type="noConversion"/>
  </si>
  <si>
    <t>04월 30일</t>
    <phoneticPr fontId="3" type="noConversion"/>
  </si>
  <si>
    <t>05월 16일</t>
    <phoneticPr fontId="3" type="noConversion"/>
  </si>
  <si>
    <t>05월 22일</t>
    <phoneticPr fontId="3" type="noConversion"/>
  </si>
  <si>
    <t>06월 05일</t>
    <phoneticPr fontId="3" type="noConversion"/>
  </si>
  <si>
    <t>06월 14일</t>
    <phoneticPr fontId="3" type="noConversion"/>
  </si>
  <si>
    <t>06월 28일</t>
    <phoneticPr fontId="3" type="noConversion"/>
  </si>
  <si>
    <t>07월 31일</t>
    <phoneticPr fontId="3" type="noConversion"/>
  </si>
  <si>
    <t>08월 19일</t>
    <phoneticPr fontId="3" type="noConversion"/>
  </si>
  <si>
    <t>08월 23일</t>
    <phoneticPr fontId="3" type="noConversion"/>
  </si>
  <si>
    <t>09월 06일</t>
    <phoneticPr fontId="3" type="noConversion"/>
  </si>
  <si>
    <t>09월 20일</t>
    <phoneticPr fontId="3" type="noConversion"/>
  </si>
  <si>
    <t>10월 11일</t>
    <phoneticPr fontId="3" type="noConversion"/>
  </si>
  <si>
    <t>10월 14일</t>
    <phoneticPr fontId="3" type="noConversion"/>
  </si>
  <si>
    <t>10월 29일</t>
    <phoneticPr fontId="3" type="noConversion"/>
  </si>
  <si>
    <t>11월 07일</t>
    <phoneticPr fontId="3" type="noConversion"/>
  </si>
  <si>
    <t>12월 06일</t>
    <phoneticPr fontId="3" type="noConversion"/>
  </si>
  <si>
    <t>12월 10일</t>
    <phoneticPr fontId="3" type="noConversion"/>
  </si>
  <si>
    <t>12월 31일</t>
    <phoneticPr fontId="3" type="noConversion"/>
  </si>
  <si>
    <t>01월 30일</t>
    <phoneticPr fontId="3" type="noConversion"/>
  </si>
  <si>
    <t>렌즈미 창원대방점(93)</t>
    <phoneticPr fontId="3" type="noConversion"/>
  </si>
  <si>
    <t>02월 28일</t>
    <phoneticPr fontId="3" type="noConversion"/>
  </si>
  <si>
    <t>03월 20일</t>
  </si>
  <si>
    <t>04월 07일</t>
    <phoneticPr fontId="3" type="noConversion"/>
  </si>
  <si>
    <t>05월 08일</t>
  </si>
  <si>
    <t>06월 11일</t>
  </si>
  <si>
    <t>렌즈미 의정부민락점(103)</t>
    <phoneticPr fontId="3" type="noConversion"/>
  </si>
  <si>
    <t>06월 29일</t>
  </si>
  <si>
    <t>07월 24일</t>
  </si>
  <si>
    <t>08월 14일</t>
  </si>
  <si>
    <t>09월 14일</t>
  </si>
  <si>
    <t>09월 17일</t>
  </si>
  <si>
    <t>11월 16일</t>
  </si>
  <si>
    <t>12월 10일</t>
  </si>
  <si>
    <t>렌즈미 명동대사관점(143)</t>
    <phoneticPr fontId="3" type="noConversion"/>
  </si>
  <si>
    <t>샵앤샵</t>
    <phoneticPr fontId="3" type="noConversion"/>
  </si>
  <si>
    <t>아이웨어샵</t>
    <phoneticPr fontId="3" type="noConversion"/>
  </si>
  <si>
    <t>샵앤샵</t>
    <phoneticPr fontId="3" type="noConversion"/>
  </si>
  <si>
    <t>단독샵</t>
    <phoneticPr fontId="3" type="noConversion"/>
  </si>
  <si>
    <t>샵앤샵</t>
    <phoneticPr fontId="3" type="noConversion"/>
  </si>
  <si>
    <t>샵앤샵</t>
    <phoneticPr fontId="3" type="noConversion"/>
  </si>
  <si>
    <t>샵앤샵</t>
    <phoneticPr fontId="3" type="noConversion"/>
  </si>
  <si>
    <t>단독샵</t>
    <phoneticPr fontId="3" type="noConversion"/>
  </si>
  <si>
    <t>샵앤샵</t>
    <phoneticPr fontId="3" type="noConversion"/>
  </si>
  <si>
    <t>샵앤샵</t>
    <phoneticPr fontId="3" type="noConversion"/>
  </si>
  <si>
    <t>단독샵</t>
    <phoneticPr fontId="3" type="noConversion"/>
  </si>
  <si>
    <t>아이웨어샵</t>
    <phoneticPr fontId="3" type="noConversion"/>
  </si>
  <si>
    <t>샵앤샵</t>
    <phoneticPr fontId="3" type="noConversion"/>
  </si>
  <si>
    <t>단독샵</t>
    <phoneticPr fontId="3" type="noConversion"/>
  </si>
  <si>
    <t>아이웨어샵</t>
    <phoneticPr fontId="3" type="noConversion"/>
  </si>
  <si>
    <t>샵앤샵</t>
    <phoneticPr fontId="3" type="noConversion"/>
  </si>
  <si>
    <t>샵앤샵</t>
    <phoneticPr fontId="3" type="noConversion"/>
  </si>
  <si>
    <t>단독샵</t>
    <phoneticPr fontId="3" type="noConversion"/>
  </si>
  <si>
    <t>아이웨어샵</t>
    <phoneticPr fontId="3" type="noConversion"/>
  </si>
  <si>
    <t>단독샵</t>
    <phoneticPr fontId="3" type="noConversion"/>
  </si>
  <si>
    <t>아이웨어샵</t>
    <phoneticPr fontId="3" type="noConversion"/>
  </si>
  <si>
    <t>단독샵</t>
    <phoneticPr fontId="3" type="noConversion"/>
  </si>
  <si>
    <t>단독샵</t>
    <phoneticPr fontId="3" type="noConversion"/>
  </si>
  <si>
    <t>단독샵</t>
    <phoneticPr fontId="3" type="noConversion"/>
  </si>
  <si>
    <t>아이웨어샵</t>
    <phoneticPr fontId="3" type="noConversion"/>
  </si>
  <si>
    <t>단독샵</t>
    <phoneticPr fontId="3" type="noConversion"/>
  </si>
  <si>
    <t>단독샵</t>
    <phoneticPr fontId="3" type="noConversion"/>
  </si>
  <si>
    <t>아이웨어샵</t>
    <phoneticPr fontId="3" type="noConversion"/>
  </si>
  <si>
    <t>단독샵</t>
    <phoneticPr fontId="3" type="noConversion"/>
  </si>
  <si>
    <t>단독샵</t>
    <phoneticPr fontId="3" type="noConversion"/>
  </si>
  <si>
    <t>단독샵</t>
    <phoneticPr fontId="3" type="noConversion"/>
  </si>
  <si>
    <t>아이웨어샵</t>
    <phoneticPr fontId="3" type="noConversion"/>
  </si>
  <si>
    <t>단독샵</t>
    <phoneticPr fontId="3" type="noConversion"/>
  </si>
  <si>
    <t>아이웨어샵</t>
    <phoneticPr fontId="3" type="noConversion"/>
  </si>
  <si>
    <t>아이웨어샵</t>
    <phoneticPr fontId="3" type="noConversion"/>
  </si>
  <si>
    <t>단독샵</t>
    <phoneticPr fontId="3" type="noConversion"/>
  </si>
  <si>
    <t>아이웨어샵</t>
    <phoneticPr fontId="3" type="noConversion"/>
  </si>
  <si>
    <t>아이웨어샵</t>
    <phoneticPr fontId="3" type="noConversion"/>
  </si>
  <si>
    <t>단독샵</t>
    <phoneticPr fontId="3" type="noConversion"/>
  </si>
  <si>
    <t>단독샵</t>
    <phoneticPr fontId="3" type="noConversion"/>
  </si>
  <si>
    <t>단독샵</t>
    <phoneticPr fontId="3" type="noConversion"/>
  </si>
  <si>
    <t>샵앤샵</t>
    <phoneticPr fontId="3" type="noConversion"/>
  </si>
  <si>
    <t>단독샵</t>
    <phoneticPr fontId="3" type="noConversion"/>
  </si>
  <si>
    <t>아이웨어샵</t>
    <phoneticPr fontId="3" type="noConversion"/>
  </si>
  <si>
    <t>단독샵</t>
    <phoneticPr fontId="3" type="noConversion"/>
  </si>
  <si>
    <t>단독샵</t>
    <phoneticPr fontId="3" type="noConversion"/>
  </si>
  <si>
    <t>샵앤샵</t>
    <phoneticPr fontId="3" type="noConversion"/>
  </si>
  <si>
    <t>단독샵</t>
    <phoneticPr fontId="3" type="noConversion"/>
  </si>
  <si>
    <t>샵앤샵</t>
    <phoneticPr fontId="3" type="noConversion"/>
  </si>
  <si>
    <t>단독샵</t>
    <phoneticPr fontId="3" type="noConversion"/>
  </si>
  <si>
    <t>샵앤샵</t>
    <phoneticPr fontId="3" type="noConversion"/>
  </si>
  <si>
    <t>샵앤샵</t>
    <phoneticPr fontId="3" type="noConversion"/>
  </si>
  <si>
    <t>단독샵</t>
    <phoneticPr fontId="3" type="noConversion"/>
  </si>
  <si>
    <t>샵앤샵</t>
    <phoneticPr fontId="3" type="noConversion"/>
  </si>
  <si>
    <t>단독샵</t>
    <phoneticPr fontId="3" type="noConversion"/>
  </si>
  <si>
    <t>샵앤샵</t>
    <phoneticPr fontId="3" type="noConversion"/>
  </si>
  <si>
    <t>아이웨어샵</t>
    <phoneticPr fontId="3" type="noConversion"/>
  </si>
  <si>
    <t>샵앤샵</t>
    <phoneticPr fontId="3" type="noConversion"/>
  </si>
  <si>
    <t>아이웨어샵</t>
    <phoneticPr fontId="3" type="noConversion"/>
  </si>
  <si>
    <t>샵앤샵</t>
    <phoneticPr fontId="3" type="noConversion"/>
  </si>
  <si>
    <t>아이웨어샵</t>
    <phoneticPr fontId="3" type="noConversion"/>
  </si>
  <si>
    <t>샵앤샵</t>
    <phoneticPr fontId="3" type="noConversion"/>
  </si>
  <si>
    <t>전환</t>
    <phoneticPr fontId="3" type="noConversion"/>
  </si>
  <si>
    <t>전환</t>
    <phoneticPr fontId="3" type="noConversion"/>
  </si>
  <si>
    <t>전환</t>
    <phoneticPr fontId="3" type="noConversion"/>
  </si>
  <si>
    <t>글라스미</t>
    <phoneticPr fontId="3" type="noConversion"/>
  </si>
  <si>
    <t>전환</t>
    <phoneticPr fontId="3" type="noConversion"/>
  </si>
  <si>
    <t>웨스턴돔점</t>
    <phoneticPr fontId="12" type="noConversion"/>
  </si>
  <si>
    <t>전환</t>
    <phoneticPr fontId="3" type="noConversion"/>
  </si>
  <si>
    <t>전환</t>
    <phoneticPr fontId="3" type="noConversion"/>
  </si>
  <si>
    <t>전환</t>
    <phoneticPr fontId="3" type="noConversion"/>
  </si>
  <si>
    <t>신림점</t>
    <phoneticPr fontId="3" type="noConversion"/>
  </si>
  <si>
    <t>울산삼산점</t>
    <phoneticPr fontId="3" type="noConversion"/>
  </si>
  <si>
    <t>포천송우점</t>
    <phoneticPr fontId="3" type="noConversion"/>
  </si>
  <si>
    <t>전환</t>
    <phoneticPr fontId="3" type="noConversion"/>
  </si>
  <si>
    <t>충청남도 아산시 탕정면 매곡리 1217 107호,108호</t>
    <phoneticPr fontId="3" type="noConversion"/>
  </si>
  <si>
    <t>샵앤샵</t>
    <phoneticPr fontId="3" type="noConversion"/>
  </si>
  <si>
    <t>단독샵</t>
    <phoneticPr fontId="3" type="noConversion"/>
  </si>
  <si>
    <t>경기도 부천시 상동로 83 107호</t>
    <phoneticPr fontId="3" type="noConversion"/>
  </si>
  <si>
    <t>오픈 / 폐업</t>
    <phoneticPr fontId="3" type="noConversion"/>
  </si>
  <si>
    <t>형태별 합계</t>
    <phoneticPr fontId="3" type="noConversion"/>
  </si>
  <si>
    <t>오픈</t>
    <phoneticPr fontId="3" type="noConversion"/>
  </si>
  <si>
    <t>단독샵</t>
    <phoneticPr fontId="3" type="noConversion"/>
  </si>
  <si>
    <t>아이웨어샵</t>
    <phoneticPr fontId="3" type="noConversion"/>
  </si>
  <si>
    <t>샵앤샵</t>
    <phoneticPr fontId="3" type="noConversion"/>
  </si>
  <si>
    <t>글라스미</t>
    <phoneticPr fontId="3" type="noConversion"/>
  </si>
  <si>
    <t>전환</t>
    <phoneticPr fontId="3" type="noConversion"/>
  </si>
  <si>
    <t>합계</t>
    <phoneticPr fontId="3" type="noConversion"/>
  </si>
  <si>
    <t>폐업</t>
    <phoneticPr fontId="3" type="noConversion"/>
  </si>
  <si>
    <t>부천 상동점</t>
    <phoneticPr fontId="3" type="noConversion"/>
  </si>
  <si>
    <t>06월 28일</t>
    <phoneticPr fontId="3" type="noConversion"/>
  </si>
  <si>
    <t>아산 탕정역점</t>
    <phoneticPr fontId="3" type="noConversion"/>
  </si>
  <si>
    <t>02월 24일</t>
    <phoneticPr fontId="3" type="noConversion"/>
  </si>
  <si>
    <t>서귀포점</t>
    <phoneticPr fontId="3" type="noConversion"/>
  </si>
  <si>
    <t>세종점</t>
    <phoneticPr fontId="3" type="noConversion"/>
  </si>
  <si>
    <t>신라점</t>
    <phoneticPr fontId="3" type="noConversion"/>
  </si>
  <si>
    <t>목동점</t>
    <phoneticPr fontId="3" type="noConversion"/>
  </si>
  <si>
    <t>신촌점</t>
    <phoneticPr fontId="3" type="noConversion"/>
  </si>
  <si>
    <t>대전백화점 세이점</t>
    <phoneticPr fontId="3" type="noConversion"/>
  </si>
  <si>
    <t>명동 로데오점</t>
    <phoneticPr fontId="3" type="noConversion"/>
  </si>
  <si>
    <t>단독샵</t>
    <phoneticPr fontId="3" type="noConversion"/>
  </si>
  <si>
    <t>렌즈미 아산탕정역점(317)</t>
    <phoneticPr fontId="3" type="noConversion"/>
  </si>
  <si>
    <t>샵앤샵</t>
    <phoneticPr fontId="3" type="noConversion"/>
  </si>
  <si>
    <t>경상북도 경주시 용황로 76 1층 101호 (용강동)</t>
    <phoneticPr fontId="3" type="noConversion"/>
  </si>
  <si>
    <t>06월 22일</t>
    <phoneticPr fontId="3" type="noConversion"/>
  </si>
  <si>
    <t>07월 13일</t>
    <phoneticPr fontId="3" type="noConversion"/>
  </si>
  <si>
    <t>07월 20일</t>
    <phoneticPr fontId="3" type="noConversion"/>
  </si>
  <si>
    <t>글라스미</t>
    <phoneticPr fontId="3" type="noConversion"/>
  </si>
  <si>
    <t>경기도 이천시 장호원읍 장감로 82-1</t>
    <phoneticPr fontId="3" type="noConversion"/>
  </si>
  <si>
    <t>07월 27일</t>
    <phoneticPr fontId="3" type="noConversion"/>
  </si>
  <si>
    <t>렌즈미 상동점(316)</t>
    <phoneticPr fontId="3" type="noConversion"/>
  </si>
  <si>
    <t>렌즈미 경주용황점(318)</t>
    <phoneticPr fontId="3" type="noConversion"/>
  </si>
  <si>
    <t xml:space="preserve">경주용황점 </t>
    <phoneticPr fontId="3" type="noConversion"/>
  </si>
  <si>
    <t xml:space="preserve">장호원감곡점 </t>
    <phoneticPr fontId="3" type="noConversion"/>
  </si>
  <si>
    <t>08월 07일</t>
    <phoneticPr fontId="3" type="noConversion"/>
  </si>
  <si>
    <t>세종점</t>
    <phoneticPr fontId="3" type="noConversion"/>
  </si>
  <si>
    <t>렌즈미 세종점(320)</t>
    <phoneticPr fontId="3" type="noConversion"/>
  </si>
  <si>
    <t>샵앤샵</t>
    <phoneticPr fontId="3" type="noConversion"/>
  </si>
  <si>
    <t>세종특별자치시 다정중앙로 52 116호 212호 213호</t>
    <phoneticPr fontId="3" type="noConversion"/>
  </si>
  <si>
    <t>렌즈미 춘천명동점(131)</t>
    <phoneticPr fontId="3" type="noConversion"/>
  </si>
  <si>
    <t>렌즈미 장현점(3)</t>
    <phoneticPr fontId="3" type="noConversion"/>
  </si>
  <si>
    <t>08월 24일</t>
    <phoneticPr fontId="3" type="noConversion"/>
  </si>
  <si>
    <t>거제점</t>
    <phoneticPr fontId="3" type="noConversion"/>
  </si>
  <si>
    <t>07월 31일</t>
    <phoneticPr fontId="3" type="noConversion"/>
  </si>
  <si>
    <t>미사역점</t>
    <phoneticPr fontId="3" type="noConversion"/>
  </si>
  <si>
    <t>명동유네스코점</t>
    <phoneticPr fontId="3" type="noConversion"/>
  </si>
  <si>
    <t>10월 17일</t>
    <phoneticPr fontId="3" type="noConversion"/>
  </si>
  <si>
    <t>부평점</t>
    <phoneticPr fontId="3" type="noConversion"/>
  </si>
  <si>
    <t>08월 14일</t>
    <phoneticPr fontId="3" type="noConversion"/>
  </si>
  <si>
    <t>교대점</t>
    <phoneticPr fontId="3" type="noConversion"/>
  </si>
  <si>
    <t>렌즈미 성신여대점(17)</t>
    <phoneticPr fontId="3" type="noConversion"/>
  </si>
  <si>
    <t>단독샵</t>
    <phoneticPr fontId="3" type="noConversion"/>
  </si>
  <si>
    <t>8월 12일</t>
    <phoneticPr fontId="3" type="noConversion"/>
  </si>
  <si>
    <t>9월 06일</t>
    <phoneticPr fontId="3" type="noConversion"/>
  </si>
  <si>
    <t>12월 28일</t>
    <phoneticPr fontId="3" type="noConversion"/>
  </si>
  <si>
    <t>12월 29일</t>
    <phoneticPr fontId="3" type="noConversion"/>
  </si>
  <si>
    <t>02월 02일</t>
    <phoneticPr fontId="3" type="noConversion"/>
  </si>
  <si>
    <t>02월 05일</t>
    <phoneticPr fontId="3" type="noConversion"/>
  </si>
  <si>
    <t>03월 13일</t>
    <phoneticPr fontId="3" type="noConversion"/>
  </si>
  <si>
    <t>03월 18일</t>
    <phoneticPr fontId="3" type="noConversion"/>
  </si>
  <si>
    <t>03월 21일</t>
    <phoneticPr fontId="3" type="noConversion"/>
  </si>
  <si>
    <t>04월 05일</t>
    <phoneticPr fontId="3" type="noConversion"/>
  </si>
  <si>
    <t>04월 18일</t>
    <phoneticPr fontId="3" type="noConversion"/>
  </si>
  <si>
    <t>05월 13일</t>
    <phoneticPr fontId="3" type="noConversion"/>
  </si>
  <si>
    <t>05월 15일</t>
    <phoneticPr fontId="3" type="noConversion"/>
  </si>
  <si>
    <t>08월 16일</t>
    <phoneticPr fontId="3" type="noConversion"/>
  </si>
  <si>
    <t>09월 02일</t>
    <phoneticPr fontId="3" type="noConversion"/>
  </si>
  <si>
    <t>10월 08일</t>
    <phoneticPr fontId="3" type="noConversion"/>
  </si>
  <si>
    <t>11월 11일</t>
    <phoneticPr fontId="3" type="noConversion"/>
  </si>
  <si>
    <t>12월 03일</t>
    <phoneticPr fontId="3" type="noConversion"/>
  </si>
  <si>
    <t>12월 30일</t>
    <phoneticPr fontId="3" type="noConversion"/>
  </si>
  <si>
    <t>아이웨어샵</t>
    <phoneticPr fontId="3" type="noConversion"/>
  </si>
  <si>
    <t>단독샵</t>
    <phoneticPr fontId="3" type="noConversion"/>
  </si>
  <si>
    <t>인천광역시 연수구 송도과학로 28번길 50, 1층 124호</t>
    <phoneticPr fontId="3" type="noConversion"/>
  </si>
  <si>
    <t>렌즈미 충북혁신도시점(321)</t>
    <phoneticPr fontId="3" type="noConversion"/>
  </si>
  <si>
    <t>샵앤샵</t>
    <phoneticPr fontId="3" type="noConversion"/>
  </si>
  <si>
    <t>충청북도 진천군 덕산읍 시가로 14 성하빌딩 110호</t>
    <phoneticPr fontId="3" type="noConversion"/>
  </si>
  <si>
    <t>11월 30일</t>
    <phoneticPr fontId="3" type="noConversion"/>
  </si>
  <si>
    <t>충북혁신도시점</t>
    <phoneticPr fontId="3" type="noConversion"/>
  </si>
  <si>
    <t>이지민 사원</t>
    <phoneticPr fontId="3" type="noConversion"/>
  </si>
  <si>
    <t>경기도 안양시 만안구 안양로292번길 32 1층 1-2호</t>
    <phoneticPr fontId="3" type="noConversion"/>
  </si>
  <si>
    <t>경기도 여주시 세종로 19-1</t>
  </si>
  <si>
    <t>경기도 부천시 소향로 117 1층 103호 (베네피아 오피스텔)</t>
    <phoneticPr fontId="3" type="noConversion"/>
  </si>
  <si>
    <t>경기도 남양주시 호평동 638-1 늘봄타워 104호</t>
  </si>
  <si>
    <t>글라스미</t>
    <phoneticPr fontId="3" type="noConversion"/>
  </si>
  <si>
    <t>대전 중구 대종로480번길 41 1층</t>
    <phoneticPr fontId="3" type="noConversion"/>
  </si>
  <si>
    <t>충남 아산시 용화고길 70 1층</t>
    <phoneticPr fontId="3" type="noConversion"/>
  </si>
  <si>
    <t>렌즈미 의정부민락점(278)</t>
    <phoneticPr fontId="2" type="noConversion"/>
  </si>
  <si>
    <t>단독샵</t>
    <phoneticPr fontId="2" type="noConversion"/>
  </si>
  <si>
    <t>경기 의정부시 오목로225번길 141 112호</t>
    <phoneticPr fontId="3" type="noConversion"/>
  </si>
  <si>
    <t>전북 익산시 무왕로 1053 롯데마트</t>
    <phoneticPr fontId="3" type="noConversion"/>
  </si>
  <si>
    <t>렌즈미 익산모현점(307)</t>
    <phoneticPr fontId="3" type="noConversion"/>
  </si>
  <si>
    <t>전라북도 익산시 모현동 1가 863번지 1동 103호</t>
    <phoneticPr fontId="3" type="noConversion"/>
  </si>
  <si>
    <t>경기 화성시 효행로 1072 상록프라자 1층 108호</t>
  </si>
  <si>
    <t>경기 수원시 장안구 송원로86번길 4 종영빌딩 1층</t>
  </si>
  <si>
    <t>경기 수원시 권선구 덕영대로1201번길 16 세일프라자 1층</t>
  </si>
  <si>
    <t>경기 오산시 성호대로 122 메디칼프라자</t>
  </si>
  <si>
    <t>울산 남구 달삼로 4</t>
  </si>
  <si>
    <t>렌즈미 광주일곡점(322)</t>
    <phoneticPr fontId="3" type="noConversion"/>
  </si>
  <si>
    <t>샵앤샵</t>
    <phoneticPr fontId="3" type="noConversion"/>
  </si>
  <si>
    <t>광주광역시 북구 설죽로 509 1동(일곡동)</t>
    <phoneticPr fontId="3" type="noConversion"/>
  </si>
  <si>
    <t>렌즈미 일산마두점(323)</t>
    <phoneticPr fontId="3" type="noConversion"/>
  </si>
  <si>
    <t>경기도 고양시 일산동구 일산로 236 1층 (마두동, 가와상사)</t>
    <phoneticPr fontId="3" type="noConversion"/>
  </si>
  <si>
    <t>아이젠트리</t>
    <phoneticPr fontId="3" type="noConversion"/>
  </si>
  <si>
    <t>이노티안경</t>
    <phoneticPr fontId="3" type="noConversion"/>
  </si>
  <si>
    <t>에비뉴안경</t>
    <phoneticPr fontId="3" type="noConversion"/>
  </si>
  <si>
    <t>글라스하우스</t>
    <phoneticPr fontId="3" type="noConversion"/>
  </si>
  <si>
    <t>아이큐안경</t>
    <phoneticPr fontId="3" type="noConversion"/>
  </si>
  <si>
    <t>드림안경</t>
    <phoneticPr fontId="3" type="noConversion"/>
  </si>
  <si>
    <t>선릉안경</t>
    <phoneticPr fontId="3" type="noConversion"/>
  </si>
  <si>
    <t>조은안경</t>
    <phoneticPr fontId="3" type="noConversion"/>
  </si>
  <si>
    <t>지니스안경</t>
    <phoneticPr fontId="3" type="noConversion"/>
  </si>
  <si>
    <t>경기도 양평군 양평읍 시민로 34</t>
    <phoneticPr fontId="3" type="noConversion"/>
  </si>
  <si>
    <t>샵앤샵 매장 명</t>
    <phoneticPr fontId="3" type="noConversion"/>
  </si>
  <si>
    <t>렌즈미 일산위시티점(324)</t>
    <phoneticPr fontId="3" type="noConversion"/>
  </si>
  <si>
    <t>경기도 고양시 일산동구 위시티로 81 풍산트윈시티 2동 106호</t>
    <phoneticPr fontId="3" type="noConversion"/>
  </si>
  <si>
    <t>글라스미</t>
    <phoneticPr fontId="3" type="noConversion"/>
  </si>
  <si>
    <t>경기도 양주시 덕계로 138-32 센트럴휴티스 G스퀘어 110호(덕계동)</t>
    <phoneticPr fontId="3" type="noConversion"/>
  </si>
  <si>
    <t>렌즈미 성남신구대점(326)</t>
    <phoneticPr fontId="3" type="noConversion"/>
  </si>
  <si>
    <t>샵앤샵</t>
    <phoneticPr fontId="3" type="noConversion"/>
  </si>
  <si>
    <t>경기도 성남주 중원구 금빛로 43 그랑메종 C블럭상사 101-1호(금광동)</t>
    <phoneticPr fontId="3" type="noConversion"/>
  </si>
  <si>
    <t>렌즈미 양주덕계역점(325)</t>
    <phoneticPr fontId="3" type="noConversion"/>
  </si>
  <si>
    <t>렌즈미 웨스턴돔점(22)</t>
    <phoneticPr fontId="3" type="noConversion"/>
  </si>
  <si>
    <t>렌즈미 울진점(327)</t>
    <phoneticPr fontId="3" type="noConversion"/>
  </si>
  <si>
    <t>경상북도 울진군 울진읍 읍내2길 1 (에코안경)</t>
    <phoneticPr fontId="3" type="noConversion"/>
  </si>
  <si>
    <t>렌즈미 강남CGV점(273)</t>
  </si>
  <si>
    <t>글라스미</t>
    <phoneticPr fontId="3" type="noConversion"/>
  </si>
  <si>
    <t>렌즈미 계명대점(241)</t>
    <phoneticPr fontId="3" type="noConversion"/>
  </si>
  <si>
    <t>렌즈미 가수원점(238)</t>
    <phoneticPr fontId="3" type="noConversion"/>
  </si>
  <si>
    <t>렌즈미 천안봉명역점(328)</t>
    <phoneticPr fontId="3" type="noConversion"/>
  </si>
  <si>
    <t>단독샵</t>
    <phoneticPr fontId="3" type="noConversion"/>
  </si>
  <si>
    <t>샵앤샵</t>
    <phoneticPr fontId="3" type="noConversion"/>
  </si>
  <si>
    <t>충청남도 천안시 서북구 쌍용대로 8</t>
    <phoneticPr fontId="3" type="noConversion"/>
  </si>
  <si>
    <t>경기도 김포시 태리로236 캐슬앤파밀리엥시티 130동 103호</t>
    <phoneticPr fontId="3" type="noConversion"/>
  </si>
  <si>
    <t>샵앤샵</t>
    <phoneticPr fontId="3" type="noConversion"/>
  </si>
  <si>
    <t>글라스미</t>
    <phoneticPr fontId="3" type="noConversion"/>
  </si>
  <si>
    <t>울산광역시 중구 번영로 590(남외동)</t>
    <phoneticPr fontId="3" type="noConversion"/>
  </si>
  <si>
    <t>샵앤샵</t>
    <phoneticPr fontId="3" type="noConversion"/>
  </si>
  <si>
    <t>렌즈미 김포구래점(330)</t>
    <phoneticPr fontId="3" type="noConversion"/>
  </si>
  <si>
    <t>렌즈미 철원점(329)</t>
    <phoneticPr fontId="3" type="noConversion"/>
  </si>
  <si>
    <t>강원 철원군 동송읍 금학로 208 1층</t>
    <phoneticPr fontId="3" type="noConversion"/>
  </si>
  <si>
    <t>렌즈미 장호원감곡점(319)</t>
    <phoneticPr fontId="3" type="noConversion"/>
  </si>
  <si>
    <t>단독샵</t>
    <phoneticPr fontId="3" type="noConversion"/>
  </si>
  <si>
    <t>경상남도 양산시 중부동 693-4 서란프라자 114호 일부</t>
    <phoneticPr fontId="3" type="noConversion"/>
  </si>
  <si>
    <t>샵앤샵</t>
    <phoneticPr fontId="3" type="noConversion"/>
  </si>
  <si>
    <t>대전 유성구 대학로 86 106호</t>
    <phoneticPr fontId="3" type="noConversion"/>
  </si>
  <si>
    <t>렌즈미 부평지하상가점(332)</t>
    <phoneticPr fontId="3" type="noConversion"/>
  </si>
  <si>
    <t>단독샵</t>
    <phoneticPr fontId="3" type="noConversion"/>
  </si>
  <si>
    <t>인천광역시 부평구 광장로 16 지하 2층(부평동, 부평민자역사)</t>
    <phoneticPr fontId="3" type="noConversion"/>
  </si>
  <si>
    <t>렌즈미 양산점(334)</t>
    <phoneticPr fontId="3" type="noConversion"/>
  </si>
  <si>
    <t>충청남도 아산시 배방읍 모산로 112</t>
    <phoneticPr fontId="3" type="noConversion"/>
  </si>
  <si>
    <t>렌즈미 아산배방점(335)</t>
    <phoneticPr fontId="3" type="noConversion"/>
  </si>
  <si>
    <t>샵앤샵</t>
    <phoneticPr fontId="3" type="noConversion"/>
  </si>
  <si>
    <t>서울 중구 서애로 12</t>
    <phoneticPr fontId="3" type="noConversion"/>
  </si>
  <si>
    <t>렌즈미 운영 가맹점 리스트</t>
    <phoneticPr fontId="3" type="noConversion"/>
  </si>
  <si>
    <t>담당자</t>
    <phoneticPr fontId="3" type="noConversion"/>
  </si>
  <si>
    <t>가맹점 코드</t>
  </si>
  <si>
    <t>가맹여부</t>
  </si>
  <si>
    <t>플래그십</t>
    <phoneticPr fontId="3" type="noConversion"/>
  </si>
  <si>
    <t>형태</t>
    <phoneticPr fontId="3" type="noConversion"/>
  </si>
  <si>
    <t>가맹점명</t>
    <phoneticPr fontId="3" type="noConversion"/>
  </si>
  <si>
    <t>안경원명</t>
    <phoneticPr fontId="3" type="noConversion"/>
  </si>
  <si>
    <t>계약일</t>
  </si>
  <si>
    <t>계약만료일</t>
  </si>
  <si>
    <t>김민수 사원</t>
  </si>
  <si>
    <t>렌즈미 건대점(1)</t>
    <phoneticPr fontId="3" type="noConversion"/>
  </si>
  <si>
    <t>2015.07.01</t>
    <phoneticPr fontId="3" type="noConversion"/>
  </si>
  <si>
    <t>2017.06.30</t>
    <phoneticPr fontId="3" type="noConversion"/>
  </si>
  <si>
    <t>이지민 사원</t>
  </si>
  <si>
    <t>2020.10.08</t>
    <phoneticPr fontId="3" type="noConversion"/>
  </si>
  <si>
    <t>양수양도</t>
    <phoneticPr fontId="3" type="noConversion"/>
  </si>
  <si>
    <t>렌즈미 장현점(3)</t>
    <phoneticPr fontId="3" type="noConversion"/>
  </si>
  <si>
    <t>글라스미 장현점(2)</t>
    <phoneticPr fontId="3" type="noConversion"/>
  </si>
  <si>
    <t>2018.08.12</t>
    <phoneticPr fontId="3" type="noConversion"/>
  </si>
  <si>
    <t>2019.08.12</t>
    <phoneticPr fontId="3" type="noConversion"/>
  </si>
  <si>
    <t>김동훈 과장</t>
  </si>
  <si>
    <t>글라스미</t>
    <phoneticPr fontId="3" type="noConversion"/>
  </si>
  <si>
    <t>렌즈미 중랑점(4)</t>
    <phoneticPr fontId="3" type="noConversion"/>
  </si>
  <si>
    <t>글라스미 중랑점(34)</t>
    <phoneticPr fontId="3" type="noConversion"/>
  </si>
  <si>
    <t>2012.09.06</t>
  </si>
  <si>
    <t>2015.09.05</t>
  </si>
  <si>
    <t>김진우 부장</t>
  </si>
  <si>
    <t>글라스미</t>
    <phoneticPr fontId="3" type="noConversion"/>
  </si>
  <si>
    <t>렌즈미 가경점(5)</t>
    <phoneticPr fontId="3" type="noConversion"/>
  </si>
  <si>
    <t>글라스미 가경점(19)</t>
    <phoneticPr fontId="3" type="noConversion"/>
  </si>
  <si>
    <t>2021.03.04</t>
    <phoneticPr fontId="3" type="noConversion"/>
  </si>
  <si>
    <t>2023.03.03</t>
    <phoneticPr fontId="3" type="noConversion"/>
  </si>
  <si>
    <t>2020.08.25</t>
    <phoneticPr fontId="3" type="noConversion"/>
  </si>
  <si>
    <t>양수양도</t>
    <phoneticPr fontId="3" type="noConversion"/>
  </si>
  <si>
    <t>샵인샵</t>
  </si>
  <si>
    <t>렌즈미 서원대점(6)</t>
    <phoneticPr fontId="3" type="noConversion"/>
  </si>
  <si>
    <t>안경나라 서원대점</t>
    <phoneticPr fontId="3" type="noConversion"/>
  </si>
  <si>
    <t>2012.12.29</t>
  </si>
  <si>
    <t>2015.12.28</t>
  </si>
  <si>
    <t>렌즈미 충북대점(7)</t>
    <phoneticPr fontId="3" type="noConversion"/>
  </si>
  <si>
    <t>안경나라 충북대점</t>
    <phoneticPr fontId="3" type="noConversion"/>
  </si>
  <si>
    <t>렌즈미 여주점(12)</t>
    <phoneticPr fontId="3" type="noConversion"/>
  </si>
  <si>
    <t>안경마을여주점</t>
    <phoneticPr fontId="3" type="noConversion"/>
  </si>
  <si>
    <t>2013.03.13</t>
  </si>
  <si>
    <t>2016.03.12</t>
  </si>
  <si>
    <t>일공공일안경콘텍트(일산중앙점)</t>
    <phoneticPr fontId="3" type="noConversion"/>
  </si>
  <si>
    <t>2013.03.21</t>
  </si>
  <si>
    <t>2016.03.20</t>
  </si>
  <si>
    <t>정재완 차장</t>
  </si>
  <si>
    <t>2013.04.05</t>
  </si>
  <si>
    <t>2016.04.04</t>
  </si>
  <si>
    <t>남윤준 사원</t>
  </si>
  <si>
    <t>아이비안경원(의정부점)</t>
    <phoneticPr fontId="3" type="noConversion"/>
  </si>
  <si>
    <t>2013.04.18</t>
  </si>
  <si>
    <t>2015.04.17</t>
  </si>
  <si>
    <t>글라스미</t>
    <phoneticPr fontId="3" type="noConversion"/>
  </si>
  <si>
    <t>렌즈미 성신여대(17)</t>
    <phoneticPr fontId="3" type="noConversion"/>
  </si>
  <si>
    <t>글라스미 성신여대(15)</t>
    <phoneticPr fontId="3" type="noConversion"/>
  </si>
  <si>
    <t>2013.05.13</t>
  </si>
  <si>
    <t>2016.05.12</t>
  </si>
  <si>
    <t>2013.08.16</t>
  </si>
  <si>
    <t>2016.08.15</t>
  </si>
  <si>
    <t>렌즈미 웨스턴돔점(22)</t>
    <phoneticPr fontId="3" type="noConversion"/>
  </si>
  <si>
    <t>글라스미 웨스턴돔(36)</t>
    <phoneticPr fontId="3" type="noConversion"/>
  </si>
  <si>
    <t>2013.11.11</t>
  </si>
  <si>
    <t>2015.11.10</t>
  </si>
  <si>
    <t>렌즈미 목포하당점(24)</t>
    <phoneticPr fontId="3" type="noConversion"/>
  </si>
  <si>
    <t>안경명가</t>
    <phoneticPr fontId="3" type="noConversion"/>
  </si>
  <si>
    <t>2013.12.03</t>
  </si>
  <si>
    <t>2015.12.02</t>
  </si>
  <si>
    <t>아이라인</t>
    <phoneticPr fontId="3" type="noConversion"/>
  </si>
  <si>
    <t>2014.02.17</t>
  </si>
  <si>
    <t>2016.02.16</t>
  </si>
  <si>
    <t>글라스미 부천점(5)</t>
    <phoneticPr fontId="3" type="noConversion"/>
  </si>
  <si>
    <t>2014.02.24</t>
  </si>
  <si>
    <t>2016.02.23</t>
  </si>
  <si>
    <t>글라스미</t>
    <phoneticPr fontId="3" type="noConversion"/>
  </si>
  <si>
    <t>글라스미 부산남포점(33)</t>
    <phoneticPr fontId="3" type="noConversion"/>
  </si>
  <si>
    <t>2014.04.05</t>
  </si>
  <si>
    <t>봄안경콘택트</t>
    <phoneticPr fontId="3" type="noConversion"/>
  </si>
  <si>
    <t>2014.04.10</t>
  </si>
  <si>
    <t>2016.04.09</t>
  </si>
  <si>
    <t>글라스미 당산점(25)</t>
    <phoneticPr fontId="3" type="noConversion"/>
  </si>
  <si>
    <t>2014.04.16</t>
  </si>
  <si>
    <t>2016.04.15</t>
  </si>
  <si>
    <t>안경이야기</t>
    <phoneticPr fontId="3" type="noConversion"/>
  </si>
  <si>
    <t>2014.05.19</t>
  </si>
  <si>
    <t>2016.05.18</t>
  </si>
  <si>
    <t>2019.11.06</t>
    <phoneticPr fontId="3" type="noConversion"/>
  </si>
  <si>
    <t>양수양도</t>
  </si>
  <si>
    <t>글라스박스</t>
  </si>
  <si>
    <t>2014.05.15</t>
  </si>
  <si>
    <t>2016.05.14</t>
  </si>
  <si>
    <t>2021.06.24</t>
    <phoneticPr fontId="3" type="noConversion"/>
  </si>
  <si>
    <t>매장이전</t>
    <phoneticPr fontId="3" type="noConversion"/>
  </si>
  <si>
    <t>글라스미 대전점(37)</t>
    <phoneticPr fontId="3" type="noConversion"/>
  </si>
  <si>
    <t>2014.06.03</t>
    <phoneticPr fontId="3" type="noConversion"/>
  </si>
  <si>
    <t>2016.06.02</t>
  </si>
  <si>
    <t>룩스토어</t>
    <phoneticPr fontId="3" type="noConversion"/>
  </si>
  <si>
    <t>2014.06.07</t>
  </si>
  <si>
    <t>2016.06.06</t>
  </si>
  <si>
    <t>고대안경</t>
    <phoneticPr fontId="3" type="noConversion"/>
  </si>
  <si>
    <t>2014.06.10</t>
  </si>
  <si>
    <t>2016.06.09</t>
  </si>
  <si>
    <t>밝은안경원</t>
    <phoneticPr fontId="3" type="noConversion"/>
  </si>
  <si>
    <t>2014.07.14</t>
  </si>
  <si>
    <t>2016.07.13</t>
  </si>
  <si>
    <t>드림안경</t>
    <phoneticPr fontId="3" type="noConversion"/>
  </si>
  <si>
    <t>2014.06.27</t>
  </si>
  <si>
    <t>2016.06.26</t>
  </si>
  <si>
    <t>2022.08.11</t>
    <phoneticPr fontId="3" type="noConversion"/>
  </si>
  <si>
    <t>양수양도</t>
    <phoneticPr fontId="3" type="noConversion"/>
  </si>
  <si>
    <t>2014.07.23</t>
  </si>
  <si>
    <t>2016.07.22</t>
  </si>
  <si>
    <t>2023.08.01</t>
    <phoneticPr fontId="3" type="noConversion"/>
  </si>
  <si>
    <t>양수양도</t>
    <phoneticPr fontId="3" type="noConversion"/>
  </si>
  <si>
    <t>글라스미 구리점(59)</t>
    <phoneticPr fontId="3" type="noConversion"/>
  </si>
  <si>
    <t>2014.07.30</t>
  </si>
  <si>
    <t>2016.07.29</t>
    <phoneticPr fontId="3" type="noConversion"/>
  </si>
  <si>
    <t>2024.04.01</t>
    <phoneticPr fontId="3" type="noConversion"/>
  </si>
  <si>
    <t>글라스나인</t>
    <phoneticPr fontId="3" type="noConversion"/>
  </si>
  <si>
    <t>2014.08.05</t>
  </si>
  <si>
    <t>2016.08.04</t>
  </si>
  <si>
    <t>눈치코치안경</t>
    <phoneticPr fontId="3" type="noConversion"/>
  </si>
  <si>
    <t>2014.08.08</t>
  </si>
  <si>
    <t>2016.08.07</t>
  </si>
  <si>
    <t>2024.11.12</t>
    <phoneticPr fontId="3" type="noConversion"/>
  </si>
  <si>
    <t>양수양도&amp;매장이전</t>
    <phoneticPr fontId="3" type="noConversion"/>
  </si>
  <si>
    <t>샵인샵</t>
    <phoneticPr fontId="3" type="noConversion"/>
  </si>
  <si>
    <t>샵인샵</t>
    <phoneticPr fontId="3" type="noConversion"/>
  </si>
  <si>
    <t>렌즈미 동국대점(50)</t>
    <phoneticPr fontId="3" type="noConversion"/>
  </si>
  <si>
    <t>2014.08.22</t>
  </si>
  <si>
    <t>2016.08.21</t>
  </si>
  <si>
    <t>글라스미 마산점(31)</t>
    <phoneticPr fontId="3" type="noConversion"/>
  </si>
  <si>
    <t>안경매니져</t>
    <phoneticPr fontId="3" type="noConversion"/>
  </si>
  <si>
    <t>안경메신져</t>
    <phoneticPr fontId="3" type="noConversion"/>
  </si>
  <si>
    <t>2014.09.03</t>
  </si>
  <si>
    <t>2016.09.02</t>
  </si>
  <si>
    <t>지니스안경</t>
    <phoneticPr fontId="3" type="noConversion"/>
  </si>
  <si>
    <t>2014.10.06</t>
  </si>
  <si>
    <t>2016.10.05</t>
  </si>
  <si>
    <t>글라스플라이안경</t>
    <phoneticPr fontId="3" type="noConversion"/>
  </si>
  <si>
    <t>2014.10.14</t>
  </si>
  <si>
    <t>2016.10.13</t>
  </si>
  <si>
    <t>2021.12.03</t>
    <phoneticPr fontId="3" type="noConversion"/>
  </si>
  <si>
    <t>이순신안경</t>
    <phoneticPr fontId="3" type="noConversion"/>
  </si>
  <si>
    <t>2014.10.13</t>
  </si>
  <si>
    <t>2016.10.12</t>
  </si>
  <si>
    <t>2014.10.23</t>
  </si>
  <si>
    <t>2016.10.22</t>
  </si>
  <si>
    <t>2014.10.21</t>
  </si>
  <si>
    <t>2016.10.20</t>
  </si>
  <si>
    <t>아이디어안경</t>
    <phoneticPr fontId="3" type="noConversion"/>
  </si>
  <si>
    <t>2014.11.07</t>
  </si>
  <si>
    <t>2016.11.06</t>
  </si>
  <si>
    <t>에이스안경원</t>
    <phoneticPr fontId="3" type="noConversion"/>
  </si>
  <si>
    <t>2014.12.01</t>
  </si>
  <si>
    <t>2016.11.30</t>
  </si>
  <si>
    <t>2014.12.17</t>
  </si>
  <si>
    <t>2016.12.16</t>
  </si>
  <si>
    <t>샤르망안경</t>
    <phoneticPr fontId="3" type="noConversion"/>
  </si>
  <si>
    <t>2015.01.05</t>
  </si>
  <si>
    <t>2017.01.04</t>
  </si>
  <si>
    <t>렌즈미 정읍점(69)</t>
    <phoneticPr fontId="3" type="noConversion"/>
  </si>
  <si>
    <t>남매안경</t>
    <phoneticPr fontId="3" type="noConversion"/>
  </si>
  <si>
    <t>2015.01.07</t>
  </si>
  <si>
    <t>2017.01.06</t>
  </si>
  <si>
    <t>1001안경콘택트</t>
    <phoneticPr fontId="3" type="noConversion"/>
  </si>
  <si>
    <t>안경나라</t>
    <phoneticPr fontId="3" type="noConversion"/>
  </si>
  <si>
    <t>2015.01.08</t>
  </si>
  <si>
    <t>2017.01.07</t>
  </si>
  <si>
    <t>안경매니져</t>
    <phoneticPr fontId="3" type="noConversion"/>
  </si>
  <si>
    <t>2015.01.28</t>
  </si>
  <si>
    <t>2017.01.27</t>
  </si>
  <si>
    <t>글라스미 미아사거리점(11)</t>
  </si>
  <si>
    <t>2015.02.06</t>
  </si>
  <si>
    <t>2017.02.05</t>
  </si>
  <si>
    <t>2022.11.18</t>
    <phoneticPr fontId="3" type="noConversion"/>
  </si>
  <si>
    <t>2015.02.25</t>
  </si>
  <si>
    <t>2017.02.24</t>
  </si>
  <si>
    <t>2015.02.24</t>
  </si>
  <si>
    <t>2017.02.23</t>
  </si>
  <si>
    <t>안경마을</t>
    <phoneticPr fontId="3" type="noConversion"/>
  </si>
  <si>
    <t>2015.03.16</t>
  </si>
  <si>
    <t>2017.03.15</t>
  </si>
  <si>
    <t>2015.03.19</t>
  </si>
  <si>
    <t>2017.03.18</t>
  </si>
  <si>
    <t>매장이전</t>
    <phoneticPr fontId="3" type="noConversion"/>
  </si>
  <si>
    <t>매장이전</t>
    <phoneticPr fontId="3" type="noConversion"/>
  </si>
  <si>
    <t>2015.03.31</t>
  </si>
  <si>
    <t>2017.03.30</t>
  </si>
  <si>
    <t>2015.04.14</t>
  </si>
  <si>
    <t>2017.04.13</t>
  </si>
  <si>
    <t>글라스미 구월점(24)</t>
    <phoneticPr fontId="3" type="noConversion"/>
  </si>
  <si>
    <t>2014.04.01</t>
    <phoneticPr fontId="3" type="noConversion"/>
  </si>
  <si>
    <t>2016.03.31</t>
  </si>
  <si>
    <t>2015.07.17</t>
  </si>
  <si>
    <t>2017.07.15</t>
  </si>
  <si>
    <t>2015.08.06</t>
  </si>
  <si>
    <t>2017.08.05</t>
  </si>
  <si>
    <t>2015.08.31</t>
  </si>
  <si>
    <t>2017.08.30</t>
  </si>
  <si>
    <t>렌즈미 천호점(95)</t>
    <phoneticPr fontId="3" type="noConversion"/>
  </si>
  <si>
    <t>2015.11.15</t>
  </si>
  <si>
    <t>2017.11.14</t>
  </si>
  <si>
    <t>2015.12.15</t>
  </si>
  <si>
    <t>2017.12.14</t>
  </si>
  <si>
    <t>글라스미 노량진점(10)</t>
    <phoneticPr fontId="3" type="noConversion"/>
  </si>
  <si>
    <t>2015.12.09</t>
  </si>
  <si>
    <t>2017.12.08</t>
  </si>
  <si>
    <t>2016.01.04</t>
  </si>
  <si>
    <t>2018.01.03</t>
  </si>
  <si>
    <t>2016.01.15</t>
  </si>
  <si>
    <t>2018.01.14</t>
  </si>
  <si>
    <t>렌즈미 순천점(104)</t>
    <phoneticPr fontId="3" type="noConversion"/>
  </si>
  <si>
    <t>글라스미 순천점(45)</t>
    <phoneticPr fontId="3" type="noConversion"/>
  </si>
  <si>
    <t>2016.03.02</t>
  </si>
  <si>
    <t>2018.03.01</t>
  </si>
  <si>
    <t>2018.08.29</t>
    <phoneticPr fontId="3" type="noConversion"/>
  </si>
  <si>
    <t>렌즈미 천안쌍용점(105)</t>
    <phoneticPr fontId="3" type="noConversion"/>
  </si>
  <si>
    <t>2018.02.22</t>
  </si>
  <si>
    <t>2016.03.13</t>
  </si>
  <si>
    <t>2018.03.12</t>
  </si>
  <si>
    <t>상호변경(24.10)</t>
    <phoneticPr fontId="3" type="noConversion"/>
  </si>
  <si>
    <t>렌즈미 충장로황금점(107)</t>
    <phoneticPr fontId="3" type="noConversion"/>
  </si>
  <si>
    <t>2016.03.07</t>
  </si>
  <si>
    <t>2018.03.07</t>
  </si>
  <si>
    <t>2016.04.25</t>
  </si>
  <si>
    <t>2018.04.24</t>
  </si>
  <si>
    <t>글라스미 일산라페스타점(21)</t>
  </si>
  <si>
    <t>2016.03.28</t>
  </si>
  <si>
    <t>2018.03.27</t>
  </si>
  <si>
    <t>2016.04.13</t>
  </si>
  <si>
    <t>2018.04.12</t>
  </si>
  <si>
    <t>2016.04.14</t>
  </si>
  <si>
    <t>2018.04.13</t>
  </si>
  <si>
    <t>단독샵</t>
    <phoneticPr fontId="3" type="noConversion"/>
  </si>
  <si>
    <t>2016.04.21</t>
  </si>
  <si>
    <t>2018.04.20</t>
  </si>
  <si>
    <t>글라스미 종암점(14)</t>
  </si>
  <si>
    <t>2016.04.26</t>
  </si>
  <si>
    <t>2018.04.25</t>
  </si>
  <si>
    <t>렌즈미 중동현대점(118)</t>
    <phoneticPr fontId="3" type="noConversion"/>
  </si>
  <si>
    <t>2016.05.11</t>
  </si>
  <si>
    <t>2016.05.10</t>
  </si>
  <si>
    <t>2016.06.13</t>
  </si>
  <si>
    <t>2018.06.12</t>
  </si>
  <si>
    <t>글라스미 신림점(57)</t>
    <phoneticPr fontId="3" type="noConversion"/>
  </si>
  <si>
    <t>2016.05.27</t>
  </si>
  <si>
    <t>2016.05.26</t>
  </si>
  <si>
    <t>렌즈미 대학로점(125)</t>
    <phoneticPr fontId="3" type="noConversion"/>
  </si>
  <si>
    <t>글라스미 대학로점(17)</t>
  </si>
  <si>
    <t>2016.07.20</t>
  </si>
  <si>
    <t>2018.07.19</t>
  </si>
  <si>
    <t>2016.07.08</t>
  </si>
  <si>
    <t>2018.07.07</t>
  </si>
  <si>
    <t>아이웨어샵</t>
    <phoneticPr fontId="3" type="noConversion"/>
  </si>
  <si>
    <t>2016.08.24</t>
  </si>
  <si>
    <t>2018.08.23</t>
  </si>
  <si>
    <t>2016.08.03</t>
  </si>
  <si>
    <t>2018.08.02</t>
  </si>
  <si>
    <t>2018.09.01</t>
  </si>
  <si>
    <t>글라스박스</t>
    <phoneticPr fontId="3" type="noConversion"/>
  </si>
  <si>
    <t>2016.09.06</t>
  </si>
  <si>
    <t>2018.09.05</t>
  </si>
  <si>
    <t>2016.08.18</t>
  </si>
  <si>
    <t>2018.08.17</t>
  </si>
  <si>
    <t>2016.09.22</t>
  </si>
  <si>
    <t>2018.09.21</t>
  </si>
  <si>
    <t>2025.01.01</t>
    <phoneticPr fontId="3" type="noConversion"/>
  </si>
  <si>
    <t>드림안경</t>
    <phoneticPr fontId="3" type="noConversion"/>
  </si>
  <si>
    <t>2016.09.21</t>
  </si>
  <si>
    <t>2018.09.20</t>
  </si>
  <si>
    <t>글라스미 포항점(40)</t>
    <phoneticPr fontId="3" type="noConversion"/>
  </si>
  <si>
    <t>2016.09.12</t>
  </si>
  <si>
    <t>2018.09.11</t>
  </si>
  <si>
    <t>2021.08.05</t>
    <phoneticPr fontId="3" type="noConversion"/>
  </si>
  <si>
    <t>글라스미 김해인제대점(39)</t>
    <phoneticPr fontId="3" type="noConversion"/>
  </si>
  <si>
    <t>2016.09.26</t>
    <phoneticPr fontId="3" type="noConversion"/>
  </si>
  <si>
    <t>2018.09.25</t>
    <phoneticPr fontId="3" type="noConversion"/>
  </si>
  <si>
    <t>2018.06.28</t>
    <phoneticPr fontId="3" type="noConversion"/>
  </si>
  <si>
    <t>렌즈미 대전복합터미널점(146)</t>
    <phoneticPr fontId="3" type="noConversion"/>
  </si>
  <si>
    <t>2016.10.06</t>
  </si>
  <si>
    <t>2018.10.05</t>
  </si>
  <si>
    <t>2016.11.09</t>
  </si>
  <si>
    <t>2018.11.08</t>
  </si>
  <si>
    <t>2021.11.19</t>
    <phoneticPr fontId="3" type="noConversion"/>
  </si>
  <si>
    <t>글라스미 충주점(43)</t>
    <phoneticPr fontId="3" type="noConversion"/>
  </si>
  <si>
    <t>2016.10.31</t>
  </si>
  <si>
    <t>2018.10.30</t>
  </si>
  <si>
    <t>2016.10.26</t>
  </si>
  <si>
    <t>2018.10.25</t>
  </si>
  <si>
    <t>2016.05.24</t>
  </si>
  <si>
    <t>2018.05.23</t>
  </si>
  <si>
    <t>2016.11.02</t>
  </si>
  <si>
    <t>2018.11.01</t>
  </si>
  <si>
    <t>글라스미 포천송우점(62)</t>
    <phoneticPr fontId="3" type="noConversion"/>
  </si>
  <si>
    <t>2016.09.29</t>
  </si>
  <si>
    <t>2018.09.28</t>
  </si>
  <si>
    <t>2021.06.16</t>
    <phoneticPr fontId="3" type="noConversion"/>
  </si>
  <si>
    <t>2016.12.07</t>
  </si>
  <si>
    <t>2018.12.06</t>
  </si>
  <si>
    <t>글라스미 숙대점(16)</t>
  </si>
  <si>
    <t>2016.11.29</t>
  </si>
  <si>
    <t>2018.11.28</t>
  </si>
  <si>
    <t>렌즈미 시흥사거리점(155)</t>
    <phoneticPr fontId="3" type="noConversion"/>
  </si>
  <si>
    <t>글라스미 시흥사거리점(65)</t>
    <phoneticPr fontId="3" type="noConversion"/>
  </si>
  <si>
    <t>2016.12.15</t>
  </si>
  <si>
    <t>2018.12.14</t>
  </si>
  <si>
    <t>2016.12.27</t>
  </si>
  <si>
    <t>2018.12.26</t>
    <phoneticPr fontId="3" type="noConversion"/>
  </si>
  <si>
    <t>글라스미 울산삼산점(61)</t>
    <phoneticPr fontId="3" type="noConversion"/>
  </si>
  <si>
    <t>2017.01.03</t>
  </si>
  <si>
    <t>2019.01.02</t>
  </si>
  <si>
    <t>연세안경</t>
    <phoneticPr fontId="3" type="noConversion"/>
  </si>
  <si>
    <t>2018.12.15</t>
  </si>
  <si>
    <t>2020.03.01</t>
    <phoneticPr fontId="3" type="noConversion"/>
  </si>
  <si>
    <t>2016.12.09</t>
  </si>
  <si>
    <t>2018.12.08</t>
    <phoneticPr fontId="3" type="noConversion"/>
  </si>
  <si>
    <t>글라스미 부산대점(23)</t>
    <phoneticPr fontId="3" type="noConversion"/>
  </si>
  <si>
    <t>2018.12.08</t>
  </si>
  <si>
    <t>2016.12.06</t>
  </si>
  <si>
    <t>2018.12.05</t>
  </si>
  <si>
    <t>2016.12.29</t>
  </si>
  <si>
    <t>2018.12.28</t>
  </si>
  <si>
    <t>2017.01.17</t>
  </si>
  <si>
    <t>2019.01.16</t>
  </si>
  <si>
    <t>2017.01.11</t>
  </si>
  <si>
    <t>2019.01.10</t>
  </si>
  <si>
    <t>V</t>
    <phoneticPr fontId="3" type="noConversion"/>
  </si>
  <si>
    <t>렌즈미 아산점(174)</t>
    <phoneticPr fontId="3" type="noConversion"/>
  </si>
  <si>
    <t>글라스미 아산점(1)</t>
    <phoneticPr fontId="3" type="noConversion"/>
  </si>
  <si>
    <t>2016.12.19</t>
  </si>
  <si>
    <t>2018.12.18</t>
    <phoneticPr fontId="3" type="noConversion"/>
  </si>
  <si>
    <t>2019.02.23</t>
  </si>
  <si>
    <t>2017.01.12</t>
  </si>
  <si>
    <t>2019.01.11</t>
  </si>
  <si>
    <t>2017.02.08</t>
  </si>
  <si>
    <t>2019.02.07</t>
  </si>
  <si>
    <t>2017.03.01</t>
  </si>
  <si>
    <t>2019.02.28</t>
  </si>
  <si>
    <t>2021.03.17</t>
  </si>
  <si>
    <t>2017.03.21</t>
  </si>
  <si>
    <t>2019.03.20</t>
  </si>
  <si>
    <t>글라스미 광주수완점(26)</t>
    <phoneticPr fontId="3" type="noConversion"/>
  </si>
  <si>
    <t>2017.03.17</t>
  </si>
  <si>
    <t>2019.03.16</t>
  </si>
  <si>
    <t>2017.04.07</t>
  </si>
  <si>
    <t>2019.04.06</t>
  </si>
  <si>
    <t>2019.04.12</t>
  </si>
  <si>
    <t>글라스미 창원용호점(30)</t>
    <phoneticPr fontId="3" type="noConversion"/>
  </si>
  <si>
    <t>2017.03.29</t>
  </si>
  <si>
    <t>2019.03.28</t>
  </si>
  <si>
    <t>2017.05.15</t>
  </si>
  <si>
    <t>2019.05.14</t>
  </si>
  <si>
    <t>2017.04.25</t>
  </si>
  <si>
    <t>2019.04.24</t>
  </si>
  <si>
    <t>2017.05.01</t>
  </si>
  <si>
    <t>2019.04.29</t>
  </si>
  <si>
    <t>글라스미</t>
    <phoneticPr fontId="3" type="noConversion"/>
  </si>
  <si>
    <t>렌즈미 순천연향점(204)</t>
    <phoneticPr fontId="3" type="noConversion"/>
  </si>
  <si>
    <t>글라스미 순천연향점(6)</t>
    <phoneticPr fontId="3" type="noConversion"/>
  </si>
  <si>
    <t>2017.05.02</t>
  </si>
  <si>
    <t>2019.05.01</t>
  </si>
  <si>
    <t>2017.05.11</t>
  </si>
  <si>
    <t>2019.05.10</t>
  </si>
  <si>
    <t>2017.05.19</t>
  </si>
  <si>
    <t>2019.05.18</t>
  </si>
  <si>
    <t>2017.06.28</t>
  </si>
  <si>
    <t>2019.06.27</t>
  </si>
  <si>
    <t>렌즈미 수지구청점(213)</t>
    <phoneticPr fontId="3" type="noConversion"/>
  </si>
  <si>
    <t>글라스미 수지구청점(27)</t>
    <phoneticPr fontId="3" type="noConversion"/>
  </si>
  <si>
    <t>2019.05.18</t>
    <phoneticPr fontId="3" type="noConversion"/>
  </si>
  <si>
    <t>2017.07.14</t>
  </si>
  <si>
    <t>2019.07.13</t>
  </si>
  <si>
    <t>V</t>
    <phoneticPr fontId="3" type="noConversion"/>
  </si>
  <si>
    <t>렌즈미 평택역점(219)</t>
    <phoneticPr fontId="3" type="noConversion"/>
  </si>
  <si>
    <t>2017.06.30</t>
  </si>
  <si>
    <t>2019.06.29</t>
  </si>
  <si>
    <t>2017.08.01</t>
  </si>
  <si>
    <t>2019.07.30</t>
  </si>
  <si>
    <t>글라스미 제주시청점(29)</t>
    <phoneticPr fontId="3" type="noConversion"/>
  </si>
  <si>
    <t>2017.07.20</t>
  </si>
  <si>
    <t>2019.07.19</t>
  </si>
  <si>
    <t>1001안경</t>
    <phoneticPr fontId="3" type="noConversion"/>
  </si>
  <si>
    <t>2017.08.11</t>
  </si>
  <si>
    <t>2019.08.10</t>
  </si>
  <si>
    <t>2017.09.15</t>
  </si>
  <si>
    <t>2019.09.14</t>
  </si>
  <si>
    <t>2022.07.11</t>
    <phoneticPr fontId="3" type="noConversion"/>
  </si>
  <si>
    <t>양수양도</t>
    <phoneticPr fontId="3" type="noConversion"/>
  </si>
  <si>
    <t>카이스트안경</t>
    <phoneticPr fontId="3" type="noConversion"/>
  </si>
  <si>
    <t>2017.09.11</t>
  </si>
  <si>
    <t>2019.09.10</t>
  </si>
  <si>
    <t>글라스미 배곧신도시점(56)</t>
    <phoneticPr fontId="3" type="noConversion"/>
  </si>
  <si>
    <t>글라스미 원종사거리점(35)</t>
    <phoneticPr fontId="3" type="noConversion"/>
  </si>
  <si>
    <t>2017.07.28</t>
  </si>
  <si>
    <t>2019.07.27</t>
  </si>
  <si>
    <t>2024.02.01</t>
    <phoneticPr fontId="3" type="noConversion"/>
  </si>
  <si>
    <t>2017.12.05</t>
  </si>
  <si>
    <t>2019.12.04</t>
  </si>
  <si>
    <t>2017.12.04</t>
  </si>
  <si>
    <t>2019.12.03</t>
  </si>
  <si>
    <t>안경박사</t>
    <phoneticPr fontId="3" type="noConversion"/>
  </si>
  <si>
    <t>2019.12.07</t>
  </si>
  <si>
    <t>글라스미 양주옥정점(12)</t>
  </si>
  <si>
    <t>2018.02.26</t>
  </si>
  <si>
    <t>2020.02.25</t>
  </si>
  <si>
    <t>2018.03.06</t>
  </si>
  <si>
    <t>2020.03.05</t>
  </si>
  <si>
    <t>2018.03.10</t>
  </si>
  <si>
    <t>2020.03.09</t>
  </si>
  <si>
    <t>2018.04.02</t>
  </si>
  <si>
    <t>2020.04.01</t>
  </si>
  <si>
    <t>아이마트</t>
    <phoneticPr fontId="3" type="noConversion"/>
  </si>
  <si>
    <t>2018.05.10</t>
  </si>
  <si>
    <t>2020.05.09</t>
  </si>
  <si>
    <t>2018.06.02</t>
  </si>
  <si>
    <t>매장이전</t>
  </si>
  <si>
    <t>렌즈미 의정부행복로점(242)</t>
    <phoneticPr fontId="3" type="noConversion"/>
  </si>
  <si>
    <t>글라스미 의정부행복로점(13)</t>
  </si>
  <si>
    <t>2020.06.01</t>
  </si>
  <si>
    <t>렌즈미 인천용현점(243)</t>
    <phoneticPr fontId="3" type="noConversion"/>
  </si>
  <si>
    <t>베니스안경</t>
    <phoneticPr fontId="3" type="noConversion"/>
  </si>
  <si>
    <t>2020.05.22</t>
  </si>
  <si>
    <t>2018.06.10</t>
  </si>
  <si>
    <t>르망안경</t>
    <phoneticPr fontId="3" type="noConversion"/>
  </si>
  <si>
    <t>2018.06.10</t>
    <phoneticPr fontId="3" type="noConversion"/>
  </si>
  <si>
    <t>2020.06.09</t>
    <phoneticPr fontId="3" type="noConversion"/>
  </si>
  <si>
    <t>2018.06.15</t>
  </si>
  <si>
    <t>2020.06.14</t>
  </si>
  <si>
    <t>2018.06.29</t>
  </si>
  <si>
    <t>2020.06.28</t>
  </si>
  <si>
    <t>2018.06.26</t>
  </si>
  <si>
    <t>2020.06.25</t>
  </si>
  <si>
    <t>2018.08.07</t>
  </si>
  <si>
    <t>2020.08.06</t>
  </si>
  <si>
    <t>2022.09.02</t>
    <phoneticPr fontId="3" type="noConversion"/>
  </si>
  <si>
    <t>글라스미 천안불당점(54)</t>
    <phoneticPr fontId="3" type="noConversion"/>
  </si>
  <si>
    <t>2018.08.21</t>
  </si>
  <si>
    <t>2020.08.20</t>
  </si>
  <si>
    <t>월드안경</t>
    <phoneticPr fontId="3" type="noConversion"/>
  </si>
  <si>
    <t>2018.10.23</t>
  </si>
  <si>
    <t>2020.10.22</t>
  </si>
  <si>
    <t>글라스미 반여점(32)</t>
    <phoneticPr fontId="3" type="noConversion"/>
  </si>
  <si>
    <t>2018.11.22</t>
  </si>
  <si>
    <t>2020.11.21</t>
  </si>
  <si>
    <t>2018.11.29</t>
  </si>
  <si>
    <t>2020.11.28</t>
  </si>
  <si>
    <t>렌즈미 전주송천점(255)</t>
    <phoneticPr fontId="3" type="noConversion"/>
  </si>
  <si>
    <t>2019.02.27</t>
  </si>
  <si>
    <t>2021.02.26</t>
  </si>
  <si>
    <t>2019.02.12</t>
  </si>
  <si>
    <t>2021.02.11</t>
  </si>
  <si>
    <t>테라타워안경원</t>
    <phoneticPr fontId="3" type="noConversion"/>
  </si>
  <si>
    <t>2019.03.11</t>
  </si>
  <si>
    <t>2021.03.10</t>
  </si>
  <si>
    <t>2019.04.17</t>
  </si>
  <si>
    <t>2021.04.16</t>
  </si>
  <si>
    <t>그랑프리안경원</t>
    <phoneticPr fontId="3" type="noConversion"/>
  </si>
  <si>
    <t>2019.05.16</t>
  </si>
  <si>
    <t>2021.05.15</t>
  </si>
  <si>
    <t>2023.10.16</t>
    <phoneticPr fontId="3" type="noConversion"/>
  </si>
  <si>
    <t>렌즈미 덕천점(261)</t>
    <phoneticPr fontId="3" type="noConversion"/>
  </si>
  <si>
    <t>2019.08.13</t>
    <phoneticPr fontId="3" type="noConversion"/>
  </si>
  <si>
    <t>2021.08.12</t>
    <phoneticPr fontId="3" type="noConversion"/>
  </si>
  <si>
    <t>렌즈미 김해점(263)</t>
    <phoneticPr fontId="3" type="noConversion"/>
  </si>
  <si>
    <t>글라스미 김해점(22)</t>
    <phoneticPr fontId="3" type="noConversion"/>
  </si>
  <si>
    <t>2019.11.12</t>
    <phoneticPr fontId="3" type="noConversion"/>
  </si>
  <si>
    <t>2021.11.11</t>
    <phoneticPr fontId="3" type="noConversion"/>
  </si>
  <si>
    <t>렌즈미 수원권선점(265)</t>
    <phoneticPr fontId="3" type="noConversion"/>
  </si>
  <si>
    <t>글라스미 수원권선점(18)</t>
    <phoneticPr fontId="3" type="noConversion"/>
  </si>
  <si>
    <t>2019.12.20</t>
  </si>
  <si>
    <t>2021.12.19</t>
  </si>
  <si>
    <t>렌즈미 인천논현점(266)</t>
    <phoneticPr fontId="3" type="noConversion"/>
  </si>
  <si>
    <t>2019.12.20</t>
    <phoneticPr fontId="3" type="noConversion"/>
  </si>
  <si>
    <t>2021.12.21</t>
    <phoneticPr fontId="3" type="noConversion"/>
  </si>
  <si>
    <t>렌즈미 부산영도점(267)</t>
    <phoneticPr fontId="3" type="noConversion"/>
  </si>
  <si>
    <t>카이스트안경</t>
    <phoneticPr fontId="3" type="noConversion"/>
  </si>
  <si>
    <t>2020.03.30</t>
  </si>
  <si>
    <t>2022.03.31</t>
  </si>
  <si>
    <t>렌즈미 가산디지털단지역점(268)</t>
    <phoneticPr fontId="3" type="noConversion"/>
  </si>
  <si>
    <t>글라스미 가산디지털단지역점(7)</t>
  </si>
  <si>
    <t>2020.04.17</t>
    <phoneticPr fontId="3" type="noConversion"/>
  </si>
  <si>
    <t>2022.04.18</t>
    <phoneticPr fontId="3" type="noConversion"/>
  </si>
  <si>
    <t>렌즈미 광주상무지구점(269)</t>
    <phoneticPr fontId="3" type="noConversion"/>
  </si>
  <si>
    <t>지니스안경</t>
    <phoneticPr fontId="3" type="noConversion"/>
  </si>
  <si>
    <t>2020.05.21</t>
    <phoneticPr fontId="3" type="noConversion"/>
  </si>
  <si>
    <t>2022.05.20</t>
    <phoneticPr fontId="3" type="noConversion"/>
  </si>
  <si>
    <t>렌즈미 광주금호점(270)</t>
    <phoneticPr fontId="3" type="noConversion"/>
  </si>
  <si>
    <t>2020.06.01</t>
    <phoneticPr fontId="3" type="noConversion"/>
  </si>
  <si>
    <t>2022.05.31</t>
    <phoneticPr fontId="3" type="noConversion"/>
  </si>
  <si>
    <t>단독샵</t>
    <phoneticPr fontId="3" type="noConversion"/>
  </si>
  <si>
    <t>렌즈미 대구칠곡점(271)</t>
    <phoneticPr fontId="3" type="noConversion"/>
  </si>
  <si>
    <t>2020.06.03</t>
    <phoneticPr fontId="3" type="noConversion"/>
  </si>
  <si>
    <t>2022.06.02</t>
    <phoneticPr fontId="3" type="noConversion"/>
  </si>
  <si>
    <t>렌즈미 첨단점(272)</t>
    <phoneticPr fontId="3" type="noConversion"/>
  </si>
  <si>
    <t>2020.06.30</t>
    <phoneticPr fontId="3" type="noConversion"/>
  </si>
  <si>
    <t>렌즈미 강남CGV점(273)</t>
    <phoneticPr fontId="3" type="noConversion"/>
  </si>
  <si>
    <t>2020.07.01</t>
    <phoneticPr fontId="3" type="noConversion"/>
  </si>
  <si>
    <t>2022.06.30</t>
    <phoneticPr fontId="3" type="noConversion"/>
  </si>
  <si>
    <t>렌즈미 광주두암점(274)</t>
    <phoneticPr fontId="3" type="noConversion"/>
  </si>
  <si>
    <t>2020.07.03</t>
    <phoneticPr fontId="3" type="noConversion"/>
  </si>
  <si>
    <t>2022.07.02</t>
    <phoneticPr fontId="3" type="noConversion"/>
  </si>
  <si>
    <t>렌즈미 경상대점(275)</t>
    <phoneticPr fontId="3" type="noConversion"/>
  </si>
  <si>
    <t>아이젠트리</t>
    <phoneticPr fontId="3" type="noConversion"/>
  </si>
  <si>
    <t>2020.07.17</t>
    <phoneticPr fontId="3" type="noConversion"/>
  </si>
  <si>
    <t>2022.07.16</t>
    <phoneticPr fontId="3" type="noConversion"/>
  </si>
  <si>
    <t>렌즈미 신중동점(277)</t>
    <phoneticPr fontId="3" type="noConversion"/>
  </si>
  <si>
    <t>2020.07.17</t>
    <phoneticPr fontId="3" type="noConversion"/>
  </si>
  <si>
    <t>2022.07.16</t>
    <phoneticPr fontId="3" type="noConversion"/>
  </si>
  <si>
    <t>2023.05.30</t>
    <phoneticPr fontId="3" type="noConversion"/>
  </si>
  <si>
    <t>렌즈미 의정부민락점(278)</t>
    <phoneticPr fontId="3" type="noConversion"/>
  </si>
  <si>
    <t>2020.08.05</t>
    <phoneticPr fontId="3" type="noConversion"/>
  </si>
  <si>
    <t>2022.08.05</t>
    <phoneticPr fontId="3" type="noConversion"/>
  </si>
  <si>
    <t>렌즈미 서신점(280)</t>
    <phoneticPr fontId="3" type="noConversion"/>
  </si>
  <si>
    <t>투아이스안경원</t>
    <phoneticPr fontId="3" type="noConversion"/>
  </si>
  <si>
    <t>2020.08.27</t>
    <phoneticPr fontId="3" type="noConversion"/>
  </si>
  <si>
    <t>2022.08.27</t>
    <phoneticPr fontId="3" type="noConversion"/>
  </si>
  <si>
    <t>렌즈미 속초점(281)</t>
    <phoneticPr fontId="3" type="noConversion"/>
  </si>
  <si>
    <t>베스트안경원</t>
    <phoneticPr fontId="3" type="noConversion"/>
  </si>
  <si>
    <t>2020.10.21</t>
    <phoneticPr fontId="3" type="noConversion"/>
  </si>
  <si>
    <t>2022.10.20</t>
    <phoneticPr fontId="3" type="noConversion"/>
  </si>
  <si>
    <t>렌즈미 광주진월점(282)</t>
    <phoneticPr fontId="3" type="noConversion"/>
  </si>
  <si>
    <t>2020.11.25</t>
    <phoneticPr fontId="3" type="noConversion"/>
  </si>
  <si>
    <t>2022.11.24</t>
    <phoneticPr fontId="3" type="noConversion"/>
  </si>
  <si>
    <t>렌즈미 광명사거리점(283)</t>
    <phoneticPr fontId="3" type="noConversion"/>
  </si>
  <si>
    <t>그랑프리안경원</t>
    <phoneticPr fontId="3" type="noConversion"/>
  </si>
  <si>
    <t>2020.12.08</t>
    <phoneticPr fontId="3" type="noConversion"/>
  </si>
  <si>
    <t>2022.12.07</t>
    <phoneticPr fontId="3" type="noConversion"/>
  </si>
  <si>
    <t>렌즈미 선릉점(285)</t>
    <phoneticPr fontId="3" type="noConversion"/>
  </si>
  <si>
    <t>2021.01.11</t>
    <phoneticPr fontId="3" type="noConversion"/>
  </si>
  <si>
    <t>2023.01.10</t>
    <phoneticPr fontId="3" type="noConversion"/>
  </si>
  <si>
    <t>렌즈미 청주동남지구점(286)</t>
    <phoneticPr fontId="3" type="noConversion"/>
  </si>
  <si>
    <t>글라스미 청주동남지구점(8)</t>
    <phoneticPr fontId="3" type="noConversion"/>
  </si>
  <si>
    <t>2021.01.29</t>
    <phoneticPr fontId="3" type="noConversion"/>
  </si>
  <si>
    <t>2023.01.28</t>
    <phoneticPr fontId="3" type="noConversion"/>
  </si>
  <si>
    <t>렌즈미 신대방삼거리점(288)</t>
    <phoneticPr fontId="3" type="noConversion"/>
  </si>
  <si>
    <t>글라스미 신대방삼거리점(19)</t>
    <phoneticPr fontId="3" type="noConversion"/>
  </si>
  <si>
    <t>2021.04.01</t>
    <phoneticPr fontId="3" type="noConversion"/>
  </si>
  <si>
    <t>2023.03.31</t>
    <phoneticPr fontId="3" type="noConversion"/>
  </si>
  <si>
    <t>렌즈미 야당역점(289)</t>
    <phoneticPr fontId="3" type="noConversion"/>
  </si>
  <si>
    <t>글라스미 야당역점(38)</t>
    <phoneticPr fontId="3" type="noConversion"/>
  </si>
  <si>
    <t>2021.07.05</t>
    <phoneticPr fontId="3" type="noConversion"/>
  </si>
  <si>
    <t>2023.07.04</t>
    <phoneticPr fontId="3" type="noConversion"/>
  </si>
  <si>
    <t>렌즈미 안산점(290)</t>
    <phoneticPr fontId="3" type="noConversion"/>
  </si>
  <si>
    <t>2021.07.02</t>
    <phoneticPr fontId="3" type="noConversion"/>
  </si>
  <si>
    <t>2023.07.01</t>
    <phoneticPr fontId="3" type="noConversion"/>
  </si>
  <si>
    <t>렌즈미 대전가오점(291)</t>
    <phoneticPr fontId="3" type="noConversion"/>
  </si>
  <si>
    <t>아이디어안경</t>
    <phoneticPr fontId="3" type="noConversion"/>
  </si>
  <si>
    <t>2021.08.16</t>
    <phoneticPr fontId="3" type="noConversion"/>
  </si>
  <si>
    <t>2023.08.15</t>
    <phoneticPr fontId="3" type="noConversion"/>
  </si>
  <si>
    <t>24.01.15</t>
    <phoneticPr fontId="3" type="noConversion"/>
  </si>
  <si>
    <t>렌즈미 해운대구청점(292)</t>
    <phoneticPr fontId="3" type="noConversion"/>
  </si>
  <si>
    <t>비추미안경</t>
    <phoneticPr fontId="3" type="noConversion"/>
  </si>
  <si>
    <t>2021.08.10</t>
    <phoneticPr fontId="3" type="noConversion"/>
  </si>
  <si>
    <t>2023.08.09</t>
    <phoneticPr fontId="3" type="noConversion"/>
  </si>
  <si>
    <t>렌즈미 송도점(294)</t>
    <phoneticPr fontId="3" type="noConversion"/>
  </si>
  <si>
    <t>2021.10.14</t>
    <phoneticPr fontId="3" type="noConversion"/>
  </si>
  <si>
    <t>2023.10.13</t>
    <phoneticPr fontId="3" type="noConversion"/>
  </si>
  <si>
    <t>렌즈미 신갈점(295)</t>
    <phoneticPr fontId="3" type="noConversion"/>
  </si>
  <si>
    <t>글라스미 신갈점(41)</t>
    <phoneticPr fontId="3" type="noConversion"/>
  </si>
  <si>
    <t>2021.10.12</t>
    <phoneticPr fontId="3" type="noConversion"/>
  </si>
  <si>
    <t>2023.10.11</t>
    <phoneticPr fontId="3" type="noConversion"/>
  </si>
  <si>
    <t>렌즈미 동두천점(296)</t>
    <phoneticPr fontId="3" type="noConversion"/>
  </si>
  <si>
    <t>글라스미 동두천점(42)</t>
    <phoneticPr fontId="3" type="noConversion"/>
  </si>
  <si>
    <t>2021.11.15</t>
    <phoneticPr fontId="3" type="noConversion"/>
  </si>
  <si>
    <t>2023.11.14</t>
    <phoneticPr fontId="3" type="noConversion"/>
  </si>
  <si>
    <t>렌즈미 여수웅천점(297)</t>
    <phoneticPr fontId="3" type="noConversion"/>
  </si>
  <si>
    <t>이순신안경</t>
    <phoneticPr fontId="3" type="noConversion"/>
  </si>
  <si>
    <t>2021.10.26</t>
    <phoneticPr fontId="3" type="noConversion"/>
  </si>
  <si>
    <t>2023.10.25</t>
    <phoneticPr fontId="3" type="noConversion"/>
  </si>
  <si>
    <t>렌즈미 팔달시장점(298)</t>
    <phoneticPr fontId="3" type="noConversion"/>
  </si>
  <si>
    <t>동산안경</t>
    <phoneticPr fontId="3" type="noConversion"/>
  </si>
  <si>
    <t>2021.11.25</t>
    <phoneticPr fontId="3" type="noConversion"/>
  </si>
  <si>
    <t>2023.11.24</t>
    <phoneticPr fontId="3" type="noConversion"/>
  </si>
  <si>
    <t>렌즈미 울산달동점(299)</t>
    <phoneticPr fontId="3" type="noConversion"/>
  </si>
  <si>
    <t>글라스미 울산달동점(44)</t>
    <phoneticPr fontId="3" type="noConversion"/>
  </si>
  <si>
    <t>2022.01.11</t>
    <phoneticPr fontId="3" type="noConversion"/>
  </si>
  <si>
    <t>2024.01.10</t>
    <phoneticPr fontId="3" type="noConversion"/>
  </si>
  <si>
    <t>글라스미 천안성정점(46)</t>
    <phoneticPr fontId="3" type="noConversion"/>
  </si>
  <si>
    <t>2022.02.24</t>
    <phoneticPr fontId="3" type="noConversion"/>
  </si>
  <si>
    <t>2024.02.23</t>
    <phoneticPr fontId="3" type="noConversion"/>
  </si>
  <si>
    <t>렌즈미 대구두류점(301)</t>
    <phoneticPr fontId="3" type="noConversion"/>
  </si>
  <si>
    <t>글라스미 대구두류점(47)</t>
    <phoneticPr fontId="3" type="noConversion"/>
  </si>
  <si>
    <t>2022.03.25</t>
    <phoneticPr fontId="3" type="noConversion"/>
  </si>
  <si>
    <t>2024.03.24</t>
    <phoneticPr fontId="3" type="noConversion"/>
  </si>
  <si>
    <t>렌즈미 루원시티점(303)</t>
    <phoneticPr fontId="3" type="noConversion"/>
  </si>
  <si>
    <t>한선생안경</t>
    <phoneticPr fontId="3" type="noConversion"/>
  </si>
  <si>
    <t>2022.03.30</t>
    <phoneticPr fontId="3" type="noConversion"/>
  </si>
  <si>
    <t>2024.03.29</t>
    <phoneticPr fontId="3" type="noConversion"/>
  </si>
  <si>
    <t>렌즈미 양원점(304)</t>
    <phoneticPr fontId="3" type="noConversion"/>
  </si>
  <si>
    <t>2022.04.21</t>
    <phoneticPr fontId="3" type="noConversion"/>
  </si>
  <si>
    <t>2024.04.20</t>
    <phoneticPr fontId="3" type="noConversion"/>
  </si>
  <si>
    <t>아이웨어샵</t>
    <phoneticPr fontId="3" type="noConversion"/>
  </si>
  <si>
    <t>렌즈미 울산성남점(305)</t>
    <phoneticPr fontId="3" type="noConversion"/>
  </si>
  <si>
    <t>무판안경 울산성남점</t>
    <phoneticPr fontId="3" type="noConversion"/>
  </si>
  <si>
    <t>2022.05.02</t>
    <phoneticPr fontId="3" type="noConversion"/>
  </si>
  <si>
    <t>2024.05.01</t>
    <phoneticPr fontId="3" type="noConversion"/>
  </si>
  <si>
    <t>렌즈미 광주신창점(306)</t>
    <phoneticPr fontId="3" type="noConversion"/>
  </si>
  <si>
    <t>글라스미 광주신창점(50)</t>
    <phoneticPr fontId="3" type="noConversion"/>
  </si>
  <si>
    <t>2022.06.14</t>
    <phoneticPr fontId="3" type="noConversion"/>
  </si>
  <si>
    <t>2024.06.13</t>
    <phoneticPr fontId="3" type="noConversion"/>
  </si>
  <si>
    <t>렌즈미 익산모현점(307)</t>
    <phoneticPr fontId="3" type="noConversion"/>
  </si>
  <si>
    <t>글라스미 익산모현점(51)</t>
    <phoneticPr fontId="3" type="noConversion"/>
  </si>
  <si>
    <t>2022.06.24</t>
    <phoneticPr fontId="3" type="noConversion"/>
  </si>
  <si>
    <t>2024.06.23</t>
    <phoneticPr fontId="3" type="noConversion"/>
  </si>
  <si>
    <t>렌즈미 원주무실점(308)</t>
    <phoneticPr fontId="3" type="noConversion"/>
  </si>
  <si>
    <t>이노티안경 원주무실점</t>
    <phoneticPr fontId="3" type="noConversion"/>
  </si>
  <si>
    <t>2022.07.21</t>
    <phoneticPr fontId="3" type="noConversion"/>
  </si>
  <si>
    <t>2024.07.20</t>
    <phoneticPr fontId="3" type="noConversion"/>
  </si>
  <si>
    <t>렌즈미 이천점(309)</t>
    <phoneticPr fontId="3" type="noConversion"/>
  </si>
  <si>
    <t>글라스미 이천점(54)</t>
    <phoneticPr fontId="3" type="noConversion"/>
  </si>
  <si>
    <t>2022.07.15</t>
    <phoneticPr fontId="3" type="noConversion"/>
  </si>
  <si>
    <t>2024.07.14</t>
    <phoneticPr fontId="3" type="noConversion"/>
  </si>
  <si>
    <t>렌즈미 시흥은계점(310)</t>
    <phoneticPr fontId="3" type="noConversion"/>
  </si>
  <si>
    <t>글라스미 시흥은계점(55)</t>
    <phoneticPr fontId="3" type="noConversion"/>
  </si>
  <si>
    <t>2022.08.15</t>
    <phoneticPr fontId="3" type="noConversion"/>
  </si>
  <si>
    <t>2024.08.14</t>
    <phoneticPr fontId="3" type="noConversion"/>
  </si>
  <si>
    <t>렌즈미 별내점(311)</t>
    <phoneticPr fontId="3" type="noConversion"/>
  </si>
  <si>
    <t>글라스미 별내점(58)</t>
    <phoneticPr fontId="3" type="noConversion"/>
  </si>
  <si>
    <t>2022.11.04</t>
    <phoneticPr fontId="3" type="noConversion"/>
  </si>
  <si>
    <t>2024.11.03</t>
    <phoneticPr fontId="3" type="noConversion"/>
  </si>
  <si>
    <t>렌즈미 까치산역점(312)</t>
    <phoneticPr fontId="3" type="noConversion"/>
  </si>
  <si>
    <t>글라스미 까치산역점(60)</t>
    <phoneticPr fontId="3" type="noConversion"/>
  </si>
  <si>
    <t>2022.11.14</t>
    <phoneticPr fontId="3" type="noConversion"/>
  </si>
  <si>
    <t>2024.11.13</t>
    <phoneticPr fontId="3" type="noConversion"/>
  </si>
  <si>
    <t>렌즈미 천안청당점(313)</t>
    <phoneticPr fontId="3" type="noConversion"/>
  </si>
  <si>
    <t>청당안경</t>
    <phoneticPr fontId="3" type="noConversion"/>
  </si>
  <si>
    <t>2023.01.16</t>
    <phoneticPr fontId="3" type="noConversion"/>
  </si>
  <si>
    <t>2025.01.15</t>
    <phoneticPr fontId="3" type="noConversion"/>
  </si>
  <si>
    <t>24.01.01</t>
    <phoneticPr fontId="3" type="noConversion"/>
  </si>
  <si>
    <t>샵인샵</t>
    <phoneticPr fontId="3" type="noConversion"/>
  </si>
  <si>
    <t>아이엔그라운드</t>
    <phoneticPr fontId="3" type="noConversion"/>
  </si>
  <si>
    <t>2023.04.06</t>
    <phoneticPr fontId="3" type="noConversion"/>
  </si>
  <si>
    <t>2025.04.05</t>
    <phoneticPr fontId="3" type="noConversion"/>
  </si>
  <si>
    <t>안경캐슬</t>
    <phoneticPr fontId="3" type="noConversion"/>
  </si>
  <si>
    <t>2023.04.18</t>
    <phoneticPr fontId="3" type="noConversion"/>
  </si>
  <si>
    <t>2025.04.17</t>
    <phoneticPr fontId="3" type="noConversion"/>
  </si>
  <si>
    <t>렌즈미 상동점(316)</t>
    <phoneticPr fontId="3" type="noConversion"/>
  </si>
  <si>
    <t>2023.05.30</t>
    <phoneticPr fontId="3" type="noConversion"/>
  </si>
  <si>
    <t>2025.05.29</t>
    <phoneticPr fontId="3" type="noConversion"/>
  </si>
  <si>
    <t>렌즈미 아산탕정역점(317)</t>
    <phoneticPr fontId="3" type="noConversion"/>
  </si>
  <si>
    <t>눈을맞추다&amp;렌즈미</t>
    <phoneticPr fontId="3" type="noConversion"/>
  </si>
  <si>
    <t>2025.05.29</t>
    <phoneticPr fontId="3" type="noConversion"/>
  </si>
  <si>
    <t>렌즈미 경주용황점(318)</t>
    <phoneticPr fontId="3" type="noConversion"/>
  </si>
  <si>
    <t>용강안경</t>
    <phoneticPr fontId="3" type="noConversion"/>
  </si>
  <si>
    <t>2023.06.05</t>
    <phoneticPr fontId="3" type="noConversion"/>
  </si>
  <si>
    <t>2025.06.04</t>
    <phoneticPr fontId="3" type="noConversion"/>
  </si>
  <si>
    <t>렌즈미 장호원감곡점(319)</t>
    <phoneticPr fontId="3" type="noConversion"/>
  </si>
  <si>
    <t>글라스미 장호원감곡점(63)</t>
    <phoneticPr fontId="3" type="noConversion"/>
  </si>
  <si>
    <t>2023.07.05</t>
    <phoneticPr fontId="3" type="noConversion"/>
  </si>
  <si>
    <t>2025.07.04</t>
    <phoneticPr fontId="3" type="noConversion"/>
  </si>
  <si>
    <t>렌즈미 세종점(320)</t>
    <phoneticPr fontId="3" type="noConversion"/>
  </si>
  <si>
    <t>2023.07.28</t>
    <phoneticPr fontId="3" type="noConversion"/>
  </si>
  <si>
    <t>2025.07.27</t>
    <phoneticPr fontId="3" type="noConversion"/>
  </si>
  <si>
    <t>렌즈미 충북혁신도시점(321)</t>
    <phoneticPr fontId="3" type="noConversion"/>
  </si>
  <si>
    <t>스위스안경</t>
    <phoneticPr fontId="3" type="noConversion"/>
  </si>
  <si>
    <t>2023.11.13</t>
  </si>
  <si>
    <t>2025.11.13</t>
  </si>
  <si>
    <t>렌즈미 광주일곡점(322)</t>
    <phoneticPr fontId="3" type="noConversion"/>
  </si>
  <si>
    <t>글라스온안경</t>
    <phoneticPr fontId="3" type="noConversion"/>
  </si>
  <si>
    <t>2023.12.19</t>
    <phoneticPr fontId="3" type="noConversion"/>
  </si>
  <si>
    <t>2025.12.19</t>
    <phoneticPr fontId="3" type="noConversion"/>
  </si>
  <si>
    <t>렌즈미 일산마두점(323)</t>
    <phoneticPr fontId="3" type="noConversion"/>
  </si>
  <si>
    <t>아이미안경</t>
    <phoneticPr fontId="3" type="noConversion"/>
  </si>
  <si>
    <t>2023.12.07</t>
    <phoneticPr fontId="3" type="noConversion"/>
  </si>
  <si>
    <t>2025.12.07</t>
    <phoneticPr fontId="3" type="noConversion"/>
  </si>
  <si>
    <t>렌즈미 일산위시티점(324)</t>
    <phoneticPr fontId="3" type="noConversion"/>
  </si>
  <si>
    <t>글라스박스안경</t>
    <phoneticPr fontId="3" type="noConversion"/>
  </si>
  <si>
    <t>2024.04.01</t>
  </si>
  <si>
    <t>2026.04.01</t>
  </si>
  <si>
    <t>렌즈미 양주덕계역점(325)</t>
    <phoneticPr fontId="3" type="noConversion"/>
  </si>
  <si>
    <t>글라스미 양주덕계역점(64)</t>
    <phoneticPr fontId="3" type="noConversion"/>
  </si>
  <si>
    <t>언제나안경</t>
    <phoneticPr fontId="3" type="noConversion"/>
  </si>
  <si>
    <t>2024.04.12</t>
  </si>
  <si>
    <t>2026.04.12</t>
  </si>
  <si>
    <t>렌즈미 울진점(327)</t>
    <phoneticPr fontId="3" type="noConversion"/>
  </si>
  <si>
    <t>에코안경</t>
    <phoneticPr fontId="3" type="noConversion"/>
  </si>
  <si>
    <t>2024.06.11</t>
    <phoneticPr fontId="3" type="noConversion"/>
  </si>
  <si>
    <t>2026.06.11</t>
    <phoneticPr fontId="3" type="noConversion"/>
  </si>
  <si>
    <t>렌즈미 천안봉명역점(328)</t>
    <phoneticPr fontId="3" type="noConversion"/>
  </si>
  <si>
    <t>스카이안경</t>
    <phoneticPr fontId="3" type="noConversion"/>
  </si>
  <si>
    <t>2024.08.19</t>
    <phoneticPr fontId="3" type="noConversion"/>
  </si>
  <si>
    <t>2026.08.19</t>
    <phoneticPr fontId="3" type="noConversion"/>
  </si>
  <si>
    <t>렌즈미 철원점(329)</t>
    <phoneticPr fontId="3" type="noConversion"/>
  </si>
  <si>
    <t>셀렉트</t>
    <phoneticPr fontId="3" type="noConversion"/>
  </si>
  <si>
    <t>2024.09.10</t>
    <phoneticPr fontId="3" type="noConversion"/>
  </si>
  <si>
    <t>2026.09.10</t>
    <phoneticPr fontId="3" type="noConversion"/>
  </si>
  <si>
    <t>렌즈미 김포구래점(330)</t>
    <phoneticPr fontId="3" type="noConversion"/>
  </si>
  <si>
    <t>2024.08.20</t>
    <phoneticPr fontId="3" type="noConversion"/>
  </si>
  <si>
    <t>2026.08.20</t>
    <phoneticPr fontId="3" type="noConversion"/>
  </si>
  <si>
    <t>렌즈미 울산병영점(331)</t>
    <phoneticPr fontId="3" type="noConversion"/>
  </si>
  <si>
    <t>글라스미 울산병영점(66)</t>
    <phoneticPr fontId="3" type="noConversion"/>
  </si>
  <si>
    <t>2024.09.02</t>
    <phoneticPr fontId="3" type="noConversion"/>
  </si>
  <si>
    <t>2026.09.02</t>
    <phoneticPr fontId="3" type="noConversion"/>
  </si>
  <si>
    <t>남윤준 사원</t>
    <phoneticPr fontId="3" type="noConversion"/>
  </si>
  <si>
    <t>렌즈미 부평지하상가점(332)</t>
    <phoneticPr fontId="3" type="noConversion"/>
  </si>
  <si>
    <t>2024.11.25</t>
    <phoneticPr fontId="3" type="noConversion"/>
  </si>
  <si>
    <t>2026.11.25</t>
    <phoneticPr fontId="3" type="noConversion"/>
  </si>
  <si>
    <t>렌즈미 충남대점(333)</t>
    <phoneticPr fontId="3" type="noConversion"/>
  </si>
  <si>
    <t>세컨페이스 유성점</t>
    <phoneticPr fontId="3" type="noConversion"/>
  </si>
  <si>
    <t>2024.12.03</t>
    <phoneticPr fontId="3" type="noConversion"/>
  </si>
  <si>
    <t>2026.12.03</t>
    <phoneticPr fontId="3" type="noConversion"/>
  </si>
  <si>
    <t>렌즈미 양산점(334)</t>
    <phoneticPr fontId="3" type="noConversion"/>
  </si>
  <si>
    <t>2024.11.20</t>
    <phoneticPr fontId="3" type="noConversion"/>
  </si>
  <si>
    <t>2026.11.20</t>
    <phoneticPr fontId="3" type="noConversion"/>
  </si>
  <si>
    <t>렌즈미 아산배방점(335)</t>
    <phoneticPr fontId="3" type="noConversion"/>
  </si>
  <si>
    <t>2024.12.18</t>
    <phoneticPr fontId="3" type="noConversion"/>
  </si>
  <si>
    <t>2026.12.18</t>
    <phoneticPr fontId="3" type="noConversion"/>
  </si>
  <si>
    <t>렌즈미 서울대벤처타운역점(336)</t>
    <phoneticPr fontId="3" type="noConversion"/>
  </si>
  <si>
    <t>렌즈미 구미산동점(337)</t>
    <phoneticPr fontId="3" type="noConversion"/>
  </si>
  <si>
    <t>샵앤샵</t>
    <phoneticPr fontId="3" type="noConversion"/>
  </si>
  <si>
    <t>샵앤샵</t>
    <phoneticPr fontId="3" type="noConversion"/>
  </si>
  <si>
    <t>서울특별시 관악구 신림로 105 2층</t>
    <phoneticPr fontId="3" type="noConversion"/>
  </si>
  <si>
    <t>구미시 산동읍 신당1로4길 8</t>
    <phoneticPr fontId="3" type="noConversion"/>
  </si>
  <si>
    <t>렌즈미 홍대거리점(338)</t>
    <phoneticPr fontId="3" type="noConversion"/>
  </si>
  <si>
    <t>단독샵</t>
    <phoneticPr fontId="3" type="noConversion"/>
  </si>
  <si>
    <t>서울특별시 마포구 홍익로3길 1</t>
    <phoneticPr fontId="3" type="noConversion"/>
  </si>
  <si>
    <t>샵앤샵</t>
    <phoneticPr fontId="3" type="noConversion"/>
  </si>
  <si>
    <t>부산광역시 해운대구 선수촌로 89-1</t>
    <phoneticPr fontId="3" type="noConversion"/>
  </si>
  <si>
    <t>샵앤샵</t>
    <phoneticPr fontId="3" type="noConversion"/>
  </si>
  <si>
    <t>세종특별자치시 한누리대로 2236 해들마을 6단지상가 C동 113,114호</t>
    <phoneticPr fontId="3" type="noConversion"/>
  </si>
  <si>
    <t>박희성 사원</t>
    <phoneticPr fontId="3" type="noConversion"/>
  </si>
  <si>
    <t>부산 기장군 일광읍 해빛6로 107-3</t>
    <phoneticPr fontId="3" type="noConversion"/>
  </si>
  <si>
    <t>대전 서구 관저로 27 1층 스위스안경원</t>
    <phoneticPr fontId="3" type="noConversion"/>
  </si>
  <si>
    <t>단독샵</t>
    <phoneticPr fontId="3" type="noConversion"/>
  </si>
  <si>
    <t>전남 광양시 중동 1676-5</t>
  </si>
  <si>
    <t>렌즈미 세종대평점(340)</t>
    <phoneticPr fontId="3" type="noConversion"/>
  </si>
  <si>
    <t>렌즈미 안산고잔점(341)</t>
    <phoneticPr fontId="3" type="noConversion"/>
  </si>
  <si>
    <t>렌즈미 부산일광점(342)</t>
    <phoneticPr fontId="3" type="noConversion"/>
  </si>
  <si>
    <t>렌즈미 관저점(343)</t>
    <phoneticPr fontId="3" type="noConversion"/>
  </si>
  <si>
    <t>렌즈미 광양점(344)</t>
    <phoneticPr fontId="3" type="noConversion"/>
  </si>
  <si>
    <t>안산시 단원구 광덕대로 182</t>
    <phoneticPr fontId="3" type="noConversion"/>
  </si>
  <si>
    <t>렌즈미 구리점(47)</t>
    <phoneticPr fontId="3" type="noConversion"/>
  </si>
  <si>
    <t>렌즈미 충장로황금점(107)</t>
    <phoneticPr fontId="3" type="noConversion"/>
  </si>
  <si>
    <t>렌즈미 충남대점(333)</t>
    <phoneticPr fontId="3" type="noConversion"/>
  </si>
  <si>
    <t>렌즈미 홍대점(46)</t>
    <phoneticPr fontId="3" type="noConversion"/>
  </si>
  <si>
    <t>렌즈미 호평점(141)</t>
    <phoneticPr fontId="3" type="noConversion"/>
  </si>
  <si>
    <t>샵앤샵</t>
    <phoneticPr fontId="3" type="noConversion"/>
  </si>
  <si>
    <t>경기도 수원시 영통구 중부대로 259 109호</t>
    <phoneticPr fontId="3" type="noConversion"/>
  </si>
  <si>
    <t>밝은안경원</t>
  </si>
  <si>
    <t>렌즈미 건대점(157)</t>
    <phoneticPr fontId="3" type="noConversion"/>
  </si>
  <si>
    <t>렌즈미 상봉점(346)</t>
    <phoneticPr fontId="3" type="noConversion"/>
  </si>
  <si>
    <t>서울특별시 중랑구 망우로353 C동 1층 
(121,122,123,124호)</t>
  </si>
  <si>
    <t>렌즈미 성수점(345)</t>
    <phoneticPr fontId="3" type="noConversion"/>
  </si>
  <si>
    <t>단독샵</t>
    <phoneticPr fontId="3" type="noConversion"/>
  </si>
  <si>
    <t>서울특별시 성동구 연무장로 16-2, 1층(성수동 1가)</t>
    <phoneticPr fontId="3" type="noConversion"/>
  </si>
  <si>
    <t>렌즈미 순천호수공원점(104)</t>
    <phoneticPr fontId="3" type="noConversion"/>
  </si>
  <si>
    <t>렌즈미 청주성안길점(87)</t>
    <phoneticPr fontId="3" type="noConversion"/>
  </si>
  <si>
    <t>렌즈미 아주대점(347)</t>
    <phoneticPr fontId="3" type="noConversion"/>
  </si>
  <si>
    <t>인테리어 세대</t>
    <phoneticPr fontId="3" type="noConversion"/>
  </si>
  <si>
    <t>폐업예정</t>
    <phoneticPr fontId="3" type="noConversion"/>
  </si>
  <si>
    <t>경기 안성시 아양1로 67 폴리프라자 2</t>
    <phoneticPr fontId="3" type="noConversion"/>
  </si>
  <si>
    <t>렌즈미 안성점(349)</t>
    <phoneticPr fontId="3" type="noConversion"/>
  </si>
  <si>
    <t>렌즈미 부산사직점(348)</t>
    <phoneticPr fontId="3" type="noConversion"/>
  </si>
  <si>
    <t>부산광역시 동래구 사직북로 27 1층(사직동)</t>
    <phoneticPr fontId="3" type="noConversion"/>
  </si>
  <si>
    <t>렌즈미 역곡점(350)</t>
    <phoneticPr fontId="3" type="noConversion"/>
  </si>
  <si>
    <t>경기도 부천시 소사구 경인로 498, 1층(괴안동)</t>
    <phoneticPr fontId="3" type="noConversion"/>
  </si>
  <si>
    <t>렌즈미 아시아선수촌점(339)</t>
    <phoneticPr fontId="3" type="noConversion"/>
  </si>
  <si>
    <t>충북 청주시 흥덕구 대농로 17 지웰시티몰 113호 114호</t>
    <phoneticPr fontId="3" type="noConversion"/>
  </si>
  <si>
    <t>부산광역시 연제구 아시아드대로 39 2단지 상가 1층 140호</t>
    <phoneticPr fontId="3" type="noConversion"/>
  </si>
  <si>
    <t>의정부점</t>
    <phoneticPr fontId="3" type="noConversion"/>
  </si>
  <si>
    <t>렌즈미 김제점(351)</t>
    <phoneticPr fontId="3" type="noConversion"/>
  </si>
  <si>
    <t>전북 김제시 검산택지3길 20 1동</t>
    <phoneticPr fontId="3" type="noConversion"/>
  </si>
  <si>
    <t>렌즈미 청주지웰시티점(352)</t>
    <phoneticPr fontId="3" type="noConversion"/>
  </si>
  <si>
    <t>렌즈미 레이카운티점(353)</t>
    <phoneticPr fontId="3" type="noConversion"/>
  </si>
  <si>
    <t>렌즈미 전주삼천점(354)</t>
    <phoneticPr fontId="3" type="noConversion"/>
  </si>
  <si>
    <t>전북 전주시 완산구 삼천동 1가 287-14</t>
    <phoneticPr fontId="3" type="noConversion"/>
  </si>
  <si>
    <t>렌즈미 의정부점(16)</t>
    <phoneticPr fontId="3" type="noConversion"/>
  </si>
  <si>
    <t>의정부</t>
    <phoneticPr fontId="3" type="noConversion"/>
  </si>
  <si>
    <t>아이비안경</t>
    <phoneticPr fontId="3" type="noConversion"/>
  </si>
  <si>
    <t>경기 의정부시 시민로 125</t>
  </si>
  <si>
    <t>AB</t>
    <phoneticPr fontId="3" type="noConversion"/>
  </si>
  <si>
    <t>대구광역시 달서구 와룡로 130</t>
    <phoneticPr fontId="3" type="noConversion"/>
  </si>
  <si>
    <t>렌즈미 대구죽전점(355)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</si>
</sst>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mm&quot;월&quot;\ dd&quot;일&quot;"/>
    <numFmt numFmtId="177" formatCode="0_);[Red]\(0\)"/>
  </numFmts>
  <fonts count="3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  <font>
      <b/>
      <sz val="11"/>
      <color theme="1"/>
      <name val="나눔고딕"/>
      <family val="3"/>
      <charset val="129"/>
    </font>
    <font>
      <sz val="11"/>
      <color theme="1"/>
      <name val="나눔고딕"/>
      <family val="3"/>
      <charset val="129"/>
    </font>
    <font>
      <sz val="10"/>
      <color theme="1"/>
      <name val="나눔고딕"/>
      <family val="3"/>
      <charset val="129"/>
    </font>
    <font>
      <sz val="10"/>
      <color rgb="FF000000"/>
      <name val="나눔고딕"/>
      <family val="3"/>
      <charset val="129"/>
    </font>
    <font>
      <sz val="8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0"/>
      <color rgb="FF222225"/>
      <name val="나눔고딕"/>
      <family val="3"/>
      <charset val="129"/>
    </font>
    <font>
      <sz val="10"/>
      <color rgb="FF444447"/>
      <name val="나눔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212529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theme="0"/>
      <name val="맑은 고딕"/>
      <family val="3"/>
      <charset val="129"/>
      <scheme val="minor"/>
    </font>
    <font>
      <b/>
      <sz val="10"/>
      <color theme="1"/>
      <name val="나눔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나눔고딕'"/>
      <family val="3"/>
      <charset val="129"/>
    </font>
    <font>
      <sz val="10"/>
      <color rgb="FF000000"/>
      <name val="나눔고딕'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theme="7" tint="0.79995117038483843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theme="6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/>
    <xf numFmtId="41" fontId="6" fillId="0" borderId="0" applyFont="0" applyFill="0" applyBorder="0" applyAlignment="0" applyProtection="0">
      <alignment vertical="center"/>
    </xf>
    <xf numFmtId="0" fontId="7" fillId="0" borderId="0"/>
    <xf numFmtId="0" fontId="17" fillId="16" borderId="20" applyNumberFormat="0" applyAlignment="0" applyProtection="0">
      <alignment vertical="center"/>
    </xf>
  </cellStyleXfs>
  <cellXfs count="251">
    <xf numFmtId="0" fontId="0" fillId="0" borderId="0" xfId="0">
      <alignment vertical="center"/>
    </xf>
    <xf numFmtId="0" fontId="5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7" borderId="1" xfId="2" applyFont="1" applyFill="1" applyBorder="1" applyAlignment="1">
      <alignment horizontal="center" vertical="center"/>
    </xf>
    <xf numFmtId="0" fontId="10" fillId="7" borderId="1" xfId="2" applyFont="1" applyFill="1" applyBorder="1" applyAlignment="1">
      <alignment horizontal="center" vertical="center"/>
    </xf>
    <xf numFmtId="0" fontId="11" fillId="7" borderId="1" xfId="2" applyNumberFormat="1" applyFont="1" applyFill="1" applyBorder="1" applyAlignment="1">
      <alignment horizontal="center" vertical="center"/>
    </xf>
    <xf numFmtId="0" fontId="11" fillId="7" borderId="1" xfId="4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7" borderId="1" xfId="4" applyNumberFormat="1" applyFont="1" applyFill="1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13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4" fillId="0" borderId="1" xfId="2" applyNumberFormat="1" applyFont="1" applyFill="1" applyBorder="1" applyAlignment="1">
      <alignment horizontal="center" vertical="center"/>
    </xf>
    <xf numFmtId="0" fontId="14" fillId="0" borderId="1" xfId="2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0" borderId="1" xfId="2" applyNumberFormat="1" applyFont="1" applyFill="1" applyBorder="1" applyAlignment="1">
      <alignment horizontal="center" vertical="center"/>
    </xf>
    <xf numFmtId="0" fontId="13" fillId="0" borderId="1" xfId="2" applyFont="1" applyFill="1" applyBorder="1" applyAlignment="1">
      <alignment horizontal="center" vertical="center"/>
    </xf>
    <xf numFmtId="0" fontId="13" fillId="7" borderId="1" xfId="2" applyNumberFormat="1" applyFont="1" applyFill="1" applyBorder="1" applyAlignment="1">
      <alignment horizontal="center" vertical="center"/>
    </xf>
    <xf numFmtId="0" fontId="13" fillId="7" borderId="1" xfId="2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>
      <alignment vertical="center"/>
    </xf>
    <xf numFmtId="0" fontId="13" fillId="0" borderId="2" xfId="0" applyFont="1" applyBorder="1" applyAlignment="1">
      <alignment horizontal="center"/>
    </xf>
    <xf numFmtId="0" fontId="13" fillId="0" borderId="8" xfId="0" applyFont="1" applyBorder="1">
      <alignment vertical="center"/>
    </xf>
    <xf numFmtId="0" fontId="13" fillId="0" borderId="1" xfId="0" applyFont="1" applyBorder="1" applyAlignment="1"/>
    <xf numFmtId="0" fontId="13" fillId="0" borderId="2" xfId="0" applyFont="1" applyBorder="1">
      <alignment vertical="center"/>
    </xf>
    <xf numFmtId="0" fontId="13" fillId="0" borderId="1" xfId="0" applyFont="1" applyBorder="1" applyAlignment="1">
      <alignment horizontal="left"/>
    </xf>
    <xf numFmtId="0" fontId="13" fillId="0" borderId="0" xfId="0" applyFont="1" applyBorder="1" applyAlignment="1">
      <alignment horizontal="left" vertical="center"/>
    </xf>
    <xf numFmtId="0" fontId="13" fillId="7" borderId="0" xfId="0" applyFont="1" applyFill="1">
      <alignment vertical="center"/>
    </xf>
    <xf numFmtId="0" fontId="13" fillId="0" borderId="1" xfId="0" applyFont="1" applyFill="1" applyBorder="1" applyAlignment="1">
      <alignment horizontal="left"/>
    </xf>
    <xf numFmtId="0" fontId="13" fillId="0" borderId="10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left" vertical="center"/>
    </xf>
    <xf numFmtId="0" fontId="13" fillId="0" borderId="0" xfId="0" applyFont="1" applyBorder="1">
      <alignment vertical="center"/>
    </xf>
    <xf numFmtId="0" fontId="15" fillId="0" borderId="1" xfId="0" applyFont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10" borderId="11" xfId="0" applyFont="1" applyFill="1" applyBorder="1" applyAlignment="1">
      <alignment horizontal="center"/>
    </xf>
    <xf numFmtId="0" fontId="13" fillId="11" borderId="1" xfId="0" applyFont="1" applyFill="1" applyBorder="1" applyAlignment="1">
      <alignment horizontal="center" vertical="center"/>
    </xf>
    <xf numFmtId="0" fontId="13" fillId="11" borderId="1" xfId="0" applyFont="1" applyFill="1" applyBorder="1">
      <alignment vertical="center"/>
    </xf>
    <xf numFmtId="0" fontId="13" fillId="11" borderId="11" xfId="0" applyFont="1" applyFill="1" applyBorder="1" applyAlignment="1">
      <alignment horizontal="center"/>
    </xf>
    <xf numFmtId="0" fontId="13" fillId="12" borderId="1" xfId="0" applyFont="1" applyFill="1" applyBorder="1" applyAlignment="1">
      <alignment horizontal="center" vertical="center"/>
    </xf>
    <xf numFmtId="0" fontId="13" fillId="12" borderId="11" xfId="0" applyFont="1" applyFill="1" applyBorder="1" applyAlignment="1">
      <alignment horizontal="center"/>
    </xf>
    <xf numFmtId="0" fontId="13" fillId="0" borderId="4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7" borderId="1" xfId="0" applyNumberFormat="1" applyFont="1" applyFill="1" applyBorder="1" applyAlignment="1">
      <alignment horizontal="center" vertical="center"/>
    </xf>
    <xf numFmtId="0" fontId="13" fillId="5" borderId="0" xfId="0" applyFont="1" applyFill="1" applyBorder="1" applyAlignment="1">
      <alignment horizontal="center"/>
    </xf>
    <xf numFmtId="0" fontId="13" fillId="12" borderId="0" xfId="0" applyFont="1" applyFill="1" applyBorder="1" applyAlignment="1">
      <alignment horizontal="center"/>
    </xf>
    <xf numFmtId="0" fontId="13" fillId="10" borderId="0" xfId="0" applyFont="1" applyFill="1" applyBorder="1" applyAlignment="1">
      <alignment horizontal="center"/>
    </xf>
    <xf numFmtId="0" fontId="13" fillId="11" borderId="0" xfId="0" applyFont="1" applyFill="1" applyBorder="1" applyAlignment="1">
      <alignment horizontal="center"/>
    </xf>
    <xf numFmtId="0" fontId="13" fillId="13" borderId="0" xfId="0" applyFont="1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5" borderId="11" xfId="0" applyFont="1" applyFill="1" applyBorder="1" applyAlignment="1">
      <alignment horizontal="center"/>
    </xf>
    <xf numFmtId="0" fontId="13" fillId="12" borderId="11" xfId="0" applyFont="1" applyFill="1" applyBorder="1" applyAlignment="1">
      <alignment horizontal="center" vertical="center"/>
    </xf>
    <xf numFmtId="0" fontId="13" fillId="12" borderId="0" xfId="0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5" borderId="1" xfId="0" applyFont="1" applyFill="1" applyBorder="1" applyAlignment="1">
      <alignment horizontal="center"/>
    </xf>
    <xf numFmtId="0" fontId="13" fillId="7" borderId="0" xfId="0" applyFont="1" applyFill="1" applyAlignment="1">
      <alignment horizontal="center" vertical="center"/>
    </xf>
    <xf numFmtId="0" fontId="0" fillId="7" borderId="1" xfId="0" applyFill="1" applyBorder="1">
      <alignment vertical="center"/>
    </xf>
    <xf numFmtId="0" fontId="0" fillId="7" borderId="1" xfId="0" applyFill="1" applyBorder="1" applyAlignment="1">
      <alignment horizontal="center" vertical="center"/>
    </xf>
    <xf numFmtId="0" fontId="2" fillId="7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177" fontId="2" fillId="0" borderId="1" xfId="0" applyNumberFormat="1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41" fontId="0" fillId="0" borderId="1" xfId="1" applyFont="1" applyBorder="1">
      <alignment vertical="center"/>
    </xf>
    <xf numFmtId="0" fontId="13" fillId="5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left" vertical="center"/>
    </xf>
    <xf numFmtId="0" fontId="2" fillId="7" borderId="0" xfId="0" applyFont="1" applyFill="1" applyBorder="1">
      <alignment vertical="center"/>
    </xf>
    <xf numFmtId="177" fontId="2" fillId="0" borderId="0" xfId="0" applyNumberFormat="1" applyFont="1" applyBorder="1">
      <alignment vertical="center"/>
    </xf>
    <xf numFmtId="41" fontId="0" fillId="0" borderId="0" xfId="1" applyFont="1" applyBorder="1">
      <alignment vertical="center"/>
    </xf>
    <xf numFmtId="177" fontId="16" fillId="0" borderId="0" xfId="0" applyNumberFormat="1" applyFont="1" applyBorder="1" applyAlignment="1">
      <alignment horizontal="center" vertical="center"/>
    </xf>
    <xf numFmtId="0" fontId="13" fillId="7" borderId="17" xfId="0" applyNumberFormat="1" applyFont="1" applyFill="1" applyBorder="1" applyAlignment="1">
      <alignment horizontal="center" vertical="center"/>
    </xf>
    <xf numFmtId="0" fontId="13" fillId="7" borderId="17" xfId="0" applyFont="1" applyFill="1" applyBorder="1" applyAlignment="1">
      <alignment horizontal="center" vertical="center"/>
    </xf>
    <xf numFmtId="0" fontId="13" fillId="7" borderId="7" xfId="0" applyNumberFormat="1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0" fontId="13" fillId="7" borderId="19" xfId="0" applyNumberFormat="1" applyFont="1" applyFill="1" applyBorder="1" applyAlignment="1">
      <alignment horizontal="center" vertical="center"/>
    </xf>
    <xf numFmtId="0" fontId="13" fillId="7" borderId="19" xfId="0" applyFont="1" applyFill="1" applyBorder="1" applyAlignment="1">
      <alignment horizontal="center" vertical="center"/>
    </xf>
    <xf numFmtId="0" fontId="13" fillId="7" borderId="16" xfId="0" applyFont="1" applyFill="1" applyBorder="1" applyAlignment="1">
      <alignment horizontal="center" vertical="center"/>
    </xf>
    <xf numFmtId="0" fontId="13" fillId="7" borderId="15" xfId="0" applyNumberFormat="1" applyFont="1" applyFill="1" applyBorder="1" applyAlignment="1">
      <alignment horizontal="center" vertical="center"/>
    </xf>
    <xf numFmtId="0" fontId="13" fillId="7" borderId="15" xfId="0" applyFont="1" applyFill="1" applyBorder="1" applyAlignment="1">
      <alignment horizontal="center" vertical="center"/>
    </xf>
    <xf numFmtId="0" fontId="13" fillId="7" borderId="18" xfId="0" applyFont="1" applyFill="1" applyBorder="1" applyAlignment="1">
      <alignment horizontal="center" vertical="center"/>
    </xf>
    <xf numFmtId="41" fontId="13" fillId="0" borderId="0" xfId="1" applyFont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0" fontId="5" fillId="0" borderId="0" xfId="0" applyNumberFormat="1" applyFont="1">
      <alignment vertical="center"/>
    </xf>
    <xf numFmtId="0" fontId="5" fillId="0" borderId="0" xfId="0" applyFont="1">
      <alignment vertical="center"/>
    </xf>
    <xf numFmtId="0" fontId="5" fillId="0" borderId="0" xfId="0" applyFont="1" applyFill="1" applyAlignment="1">
      <alignment horizontal="center" vertical="center"/>
    </xf>
    <xf numFmtId="0" fontId="22" fillId="0" borderId="0" xfId="0" applyFont="1" applyBorder="1" applyAlignment="1">
      <alignment vertical="center"/>
    </xf>
    <xf numFmtId="0" fontId="22" fillId="0" borderId="22" xfId="0" applyFont="1" applyBorder="1" applyAlignment="1">
      <alignment horizontal="centerContinuous" vertical="center"/>
    </xf>
    <xf numFmtId="0" fontId="22" fillId="0" borderId="23" xfId="0" applyFont="1" applyBorder="1" applyAlignment="1">
      <alignment horizontal="centerContinuous" vertical="center"/>
    </xf>
    <xf numFmtId="0" fontId="23" fillId="8" borderId="1" xfId="0" applyFont="1" applyFill="1" applyBorder="1" applyAlignment="1">
      <alignment horizontal="center" vertical="center" shrinkToFit="1"/>
    </xf>
    <xf numFmtId="0" fontId="23" fillId="8" borderId="24" xfId="0" applyNumberFormat="1" applyFont="1" applyFill="1" applyBorder="1" applyAlignment="1">
      <alignment horizontal="center" vertical="center" shrinkToFit="1"/>
    </xf>
    <xf numFmtId="0" fontId="24" fillId="8" borderId="0" xfId="0" applyFont="1" applyFill="1" applyAlignment="1">
      <alignment horizontal="center" vertical="center"/>
    </xf>
    <xf numFmtId="0" fontId="23" fillId="8" borderId="1" xfId="0" applyNumberFormat="1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left" vertical="center"/>
    </xf>
    <xf numFmtId="0" fontId="5" fillId="0" borderId="25" xfId="0" applyNumberFormat="1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5" fillId="0" borderId="7" xfId="2" applyFont="1" applyFill="1" applyBorder="1" applyAlignment="1">
      <alignment horizontal="left" vertical="center"/>
    </xf>
    <xf numFmtId="0" fontId="5" fillId="0" borderId="7" xfId="0" applyNumberFormat="1" applyFont="1" applyBorder="1" applyAlignment="1">
      <alignment horizontal="left" vertical="center"/>
    </xf>
    <xf numFmtId="0" fontId="5" fillId="4" borderId="26" xfId="0" applyNumberFormat="1" applyFont="1" applyFill="1" applyBorder="1" applyAlignment="1">
      <alignment horizontal="left" vertical="center"/>
    </xf>
    <xf numFmtId="0" fontId="5" fillId="4" borderId="27" xfId="0" applyFont="1" applyFill="1" applyBorder="1" applyAlignment="1">
      <alignment horizontal="left" vertical="center"/>
    </xf>
    <xf numFmtId="0" fontId="5" fillId="4" borderId="27" xfId="2" applyFont="1" applyFill="1" applyBorder="1" applyAlignment="1">
      <alignment horizontal="left" vertical="center"/>
    </xf>
    <xf numFmtId="0" fontId="5" fillId="4" borderId="27" xfId="0" applyNumberFormat="1" applyFont="1" applyFill="1" applyBorder="1" applyAlignment="1">
      <alignment horizontal="left" vertical="center"/>
    </xf>
    <xf numFmtId="0" fontId="5" fillId="0" borderId="15" xfId="0" applyNumberFormat="1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5" xfId="0" applyFont="1" applyFill="1" applyBorder="1" applyAlignment="1">
      <alignment horizontal="left" vertical="center"/>
    </xf>
    <xf numFmtId="0" fontId="5" fillId="0" borderId="15" xfId="2" applyFont="1" applyFill="1" applyBorder="1" applyAlignment="1">
      <alignment horizontal="left" vertical="center"/>
    </xf>
    <xf numFmtId="0" fontId="5" fillId="0" borderId="15" xfId="0" applyNumberFormat="1" applyFont="1" applyFill="1" applyBorder="1" applyAlignment="1">
      <alignment horizontal="left" vertical="center"/>
    </xf>
    <xf numFmtId="0" fontId="5" fillId="0" borderId="7" xfId="0" applyNumberFormat="1" applyFont="1" applyFill="1" applyBorder="1" applyAlignment="1">
      <alignment horizontal="left" vertical="center"/>
    </xf>
    <xf numFmtId="0" fontId="0" fillId="0" borderId="0" xfId="0" applyFill="1">
      <alignment vertical="center"/>
    </xf>
    <xf numFmtId="0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2" applyFont="1" applyFill="1" applyBorder="1" applyAlignment="1">
      <alignment horizontal="left" vertical="center"/>
    </xf>
    <xf numFmtId="0" fontId="5" fillId="0" borderId="1" xfId="0" applyFont="1" applyBorder="1">
      <alignment vertical="center"/>
    </xf>
    <xf numFmtId="0" fontId="5" fillId="0" borderId="7" xfId="0" applyFont="1" applyBorder="1">
      <alignment vertical="center"/>
    </xf>
    <xf numFmtId="0" fontId="5" fillId="17" borderId="26" xfId="0" applyNumberFormat="1" applyFont="1" applyFill="1" applyBorder="1" applyAlignment="1">
      <alignment horizontal="left" vertical="center"/>
    </xf>
    <xf numFmtId="0" fontId="5" fillId="17" borderId="27" xfId="0" applyFont="1" applyFill="1" applyBorder="1" applyAlignment="1">
      <alignment horizontal="left" vertical="center"/>
    </xf>
    <xf numFmtId="0" fontId="5" fillId="17" borderId="27" xfId="2" applyFont="1" applyFill="1" applyBorder="1" applyAlignment="1">
      <alignment horizontal="left" vertical="center"/>
    </xf>
    <xf numFmtId="0" fontId="5" fillId="17" borderId="27" xfId="0" applyNumberFormat="1" applyFont="1" applyFill="1" applyBorder="1" applyAlignment="1">
      <alignment horizontal="left" vertical="center"/>
    </xf>
    <xf numFmtId="0" fontId="5" fillId="17" borderId="27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left" vertical="center"/>
    </xf>
    <xf numFmtId="0" fontId="5" fillId="4" borderId="21" xfId="0" applyNumberFormat="1" applyFont="1" applyFill="1" applyBorder="1" applyAlignment="1">
      <alignment horizontal="left" vertical="center"/>
    </xf>
    <xf numFmtId="0" fontId="5" fillId="4" borderId="19" xfId="0" applyFont="1" applyFill="1" applyBorder="1" applyAlignment="1">
      <alignment horizontal="left" vertical="center"/>
    </xf>
    <xf numFmtId="0" fontId="5" fillId="4" borderId="19" xfId="0" applyNumberFormat="1" applyFont="1" applyFill="1" applyBorder="1" applyAlignment="1">
      <alignment horizontal="left" vertical="center"/>
    </xf>
    <xf numFmtId="0" fontId="5" fillId="0" borderId="14" xfId="0" applyNumberFormat="1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4" xfId="0" applyFont="1" applyFill="1" applyBorder="1" applyAlignment="1">
      <alignment horizontal="left" vertical="center"/>
    </xf>
    <xf numFmtId="0" fontId="25" fillId="0" borderId="14" xfId="0" applyNumberFormat="1" applyFont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0" fontId="25" fillId="4" borderId="27" xfId="0" applyNumberFormat="1" applyFont="1" applyFill="1" applyBorder="1" applyAlignment="1">
      <alignment horizontal="left" vertical="center"/>
    </xf>
    <xf numFmtId="0" fontId="25" fillId="0" borderId="15" xfId="0" applyNumberFormat="1" applyFont="1" applyBorder="1" applyAlignment="1">
      <alignment horizontal="left" vertical="center"/>
    </xf>
    <xf numFmtId="0" fontId="5" fillId="0" borderId="1" xfId="0" applyFont="1" applyFill="1" applyBorder="1">
      <alignment vertical="center"/>
    </xf>
    <xf numFmtId="0" fontId="5" fillId="4" borderId="1" xfId="0" applyNumberFormat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vertical="center"/>
    </xf>
    <xf numFmtId="0" fontId="25" fillId="0" borderId="1" xfId="0" applyNumberFormat="1" applyFont="1" applyBorder="1" applyAlignment="1">
      <alignment horizontal="left" vertical="center"/>
    </xf>
    <xf numFmtId="0" fontId="25" fillId="0" borderId="7" xfId="0" applyNumberFormat="1" applyFont="1" applyFill="1" applyBorder="1" applyAlignment="1">
      <alignment horizontal="left" vertical="center"/>
    </xf>
    <xf numFmtId="0" fontId="5" fillId="7" borderId="1" xfId="0" applyNumberFormat="1" applyFont="1" applyFill="1" applyBorder="1" applyAlignment="1">
      <alignment horizontal="left" vertical="center"/>
    </xf>
    <xf numFmtId="0" fontId="25" fillId="0" borderId="1" xfId="2" applyNumberFormat="1" applyFont="1" applyFill="1" applyBorder="1" applyAlignment="1">
      <alignment horizontal="left" vertical="center"/>
    </xf>
    <xf numFmtId="0" fontId="25" fillId="0" borderId="1" xfId="0" applyNumberFormat="1" applyFont="1" applyFill="1" applyBorder="1" applyAlignment="1">
      <alignment horizontal="left" vertical="center"/>
    </xf>
    <xf numFmtId="0" fontId="5" fillId="0" borderId="1" xfId="0" applyNumberFormat="1" applyFont="1" applyFill="1" applyBorder="1" applyAlignment="1">
      <alignment vertical="center"/>
    </xf>
    <xf numFmtId="0" fontId="5" fillId="0" borderId="7" xfId="0" applyNumberFormat="1" applyFont="1" applyFill="1" applyBorder="1" applyAlignment="1">
      <alignment vertical="center"/>
    </xf>
    <xf numFmtId="0" fontId="5" fillId="4" borderId="27" xfId="0" applyNumberFormat="1" applyFont="1" applyFill="1" applyBorder="1" applyAlignment="1">
      <alignment vertical="center"/>
    </xf>
    <xf numFmtId="0" fontId="5" fillId="0" borderId="15" xfId="0" applyNumberFormat="1" applyFont="1" applyFill="1" applyBorder="1" applyAlignment="1">
      <alignment vertical="center"/>
    </xf>
    <xf numFmtId="0" fontId="5" fillId="7" borderId="15" xfId="2" applyFont="1" applyFill="1" applyBorder="1" applyAlignment="1">
      <alignment horizontal="left" vertical="center"/>
    </xf>
    <xf numFmtId="0" fontId="26" fillId="7" borderId="15" xfId="0" applyFont="1" applyFill="1" applyBorder="1" applyAlignment="1">
      <alignment horizontal="left" vertical="center"/>
    </xf>
    <xf numFmtId="0" fontId="5" fillId="7" borderId="15" xfId="0" applyFont="1" applyFill="1" applyBorder="1" applyAlignment="1">
      <alignment horizontal="left" vertical="center"/>
    </xf>
    <xf numFmtId="0" fontId="5" fillId="7" borderId="1" xfId="2" applyFont="1" applyFill="1" applyBorder="1" applyAlignment="1">
      <alignment horizontal="left" vertical="center"/>
    </xf>
    <xf numFmtId="0" fontId="5" fillId="0" borderId="7" xfId="2" applyNumberFormat="1" applyFont="1" applyFill="1" applyBorder="1" applyAlignment="1">
      <alignment horizontal="left" vertical="center"/>
    </xf>
    <xf numFmtId="0" fontId="5" fillId="17" borderId="27" xfId="2" applyNumberFormat="1" applyFont="1" applyFill="1" applyBorder="1" applyAlignment="1">
      <alignment horizontal="left" vertical="center"/>
    </xf>
    <xf numFmtId="0" fontId="5" fillId="0" borderId="15" xfId="2" applyNumberFormat="1" applyFont="1" applyFill="1" applyBorder="1" applyAlignment="1">
      <alignment horizontal="left" vertical="center"/>
    </xf>
    <xf numFmtId="0" fontId="5" fillId="0" borderId="1" xfId="2" applyNumberFormat="1" applyFont="1" applyFill="1" applyBorder="1" applyAlignment="1">
      <alignment horizontal="left" vertical="center"/>
    </xf>
    <xf numFmtId="0" fontId="5" fillId="4" borderId="27" xfId="2" applyNumberFormat="1" applyFont="1" applyFill="1" applyBorder="1" applyAlignment="1">
      <alignment horizontal="left" vertical="center"/>
    </xf>
    <xf numFmtId="0" fontId="5" fillId="4" borderId="17" xfId="0" applyFont="1" applyFill="1" applyBorder="1" applyAlignment="1">
      <alignment horizontal="left" vertical="center"/>
    </xf>
    <xf numFmtId="0" fontId="5" fillId="4" borderId="17" xfId="0" applyNumberFormat="1" applyFont="1" applyFill="1" applyBorder="1" applyAlignment="1">
      <alignment horizontal="left" vertical="center"/>
    </xf>
    <xf numFmtId="0" fontId="5" fillId="7" borderId="1" xfId="0" applyFont="1" applyFill="1" applyBorder="1">
      <alignment vertical="center"/>
    </xf>
    <xf numFmtId="0" fontId="5" fillId="7" borderId="7" xfId="0" applyNumberFormat="1" applyFont="1" applyFill="1" applyBorder="1">
      <alignment vertical="center"/>
    </xf>
    <xf numFmtId="0" fontId="5" fillId="17" borderId="27" xfId="0" applyNumberFormat="1" applyFont="1" applyFill="1" applyBorder="1">
      <alignment vertical="center"/>
    </xf>
    <xf numFmtId="0" fontId="5" fillId="7" borderId="1" xfId="0" applyNumberFormat="1" applyFont="1" applyFill="1" applyBorder="1">
      <alignment vertical="center"/>
    </xf>
    <xf numFmtId="0" fontId="5" fillId="0" borderId="1" xfId="0" applyNumberFormat="1" applyFont="1" applyFill="1" applyBorder="1">
      <alignment vertical="center"/>
    </xf>
    <xf numFmtId="0" fontId="5" fillId="0" borderId="1" xfId="0" applyNumberFormat="1" applyFont="1" applyBorder="1">
      <alignment vertical="center"/>
    </xf>
    <xf numFmtId="0" fontId="5" fillId="0" borderId="1" xfId="0" applyFont="1" applyBorder="1" applyAlignment="1">
      <alignment vertical="center" wrapText="1"/>
    </xf>
    <xf numFmtId="0" fontId="5" fillId="4" borderId="21" xfId="0" applyNumberFormat="1" applyFont="1" applyFill="1" applyBorder="1">
      <alignment vertical="center"/>
    </xf>
    <xf numFmtId="0" fontId="5" fillId="4" borderId="19" xfId="0" applyFont="1" applyFill="1" applyBorder="1">
      <alignment vertical="center"/>
    </xf>
    <xf numFmtId="0" fontId="5" fillId="4" borderId="19" xfId="0" applyNumberFormat="1" applyFont="1" applyFill="1" applyBorder="1">
      <alignment vertical="center"/>
    </xf>
    <xf numFmtId="0" fontId="5" fillId="0" borderId="1" xfId="0" applyNumberFormat="1" applyFont="1" applyBorder="1" applyAlignment="1">
      <alignment vertical="center"/>
    </xf>
    <xf numFmtId="0" fontId="27" fillId="7" borderId="1" xfId="0" applyFont="1" applyFill="1" applyBorder="1">
      <alignment vertical="center"/>
    </xf>
    <xf numFmtId="0" fontId="5" fillId="4" borderId="1" xfId="0" applyNumberFormat="1" applyFont="1" applyFill="1" applyBorder="1">
      <alignment vertical="center"/>
    </xf>
    <xf numFmtId="0" fontId="5" fillId="4" borderId="1" xfId="0" applyFont="1" applyFill="1" applyBorder="1">
      <alignment vertical="center"/>
    </xf>
    <xf numFmtId="0" fontId="5" fillId="0" borderId="0" xfId="0" applyNumberFormat="1" applyFont="1" applyFill="1">
      <alignment vertical="center"/>
    </xf>
    <xf numFmtId="0" fontId="10" fillId="7" borderId="0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0" fontId="10" fillId="0" borderId="1" xfId="5" applyFont="1" applyFill="1" applyBorder="1" applyAlignment="1">
      <alignment horizontal="center" vertical="center"/>
    </xf>
    <xf numFmtId="0" fontId="10" fillId="7" borderId="15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28" fillId="9" borderId="26" xfId="0" applyFont="1" applyFill="1" applyBorder="1" applyAlignment="1">
      <alignment horizontal="center" vertical="center"/>
    </xf>
    <xf numFmtId="0" fontId="28" fillId="2" borderId="27" xfId="0" applyFont="1" applyFill="1" applyBorder="1" applyAlignment="1">
      <alignment horizontal="center" vertical="center"/>
    </xf>
    <xf numFmtId="41" fontId="28" fillId="2" borderId="27" xfId="1" applyNumberFormat="1" applyFont="1" applyFill="1" applyBorder="1" applyAlignment="1">
      <alignment horizontal="center" vertical="center"/>
    </xf>
    <xf numFmtId="0" fontId="28" fillId="8" borderId="27" xfId="0" applyFont="1" applyFill="1" applyBorder="1" applyAlignment="1">
      <alignment horizontal="center" vertical="center"/>
    </xf>
    <xf numFmtId="0" fontId="28" fillId="8" borderId="28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30" fillId="7" borderId="1" xfId="2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7" borderId="1" xfId="0" applyFont="1" applyFill="1" applyBorder="1" applyAlignment="1">
      <alignment horizontal="center" vertical="center"/>
    </xf>
    <xf numFmtId="41" fontId="30" fillId="7" borderId="1" xfId="1" applyNumberFormat="1" applyFont="1" applyFill="1" applyBorder="1" applyAlignment="1">
      <alignment vertical="center"/>
    </xf>
    <xf numFmtId="0" fontId="30" fillId="7" borderId="1" xfId="1" applyNumberFormat="1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/>
    </xf>
    <xf numFmtId="41" fontId="30" fillId="0" borderId="1" xfId="1" applyNumberFormat="1" applyFont="1" applyFill="1" applyBorder="1" applyAlignment="1">
      <alignment vertical="center"/>
    </xf>
    <xf numFmtId="0" fontId="31" fillId="7" borderId="1" xfId="4" applyFont="1" applyFill="1" applyBorder="1" applyAlignment="1">
      <alignment horizontal="center" vertical="center"/>
    </xf>
    <xf numFmtId="0" fontId="31" fillId="0" borderId="1" xfId="4" applyFont="1" applyFill="1" applyBorder="1" applyAlignment="1">
      <alignment horizontal="center" vertical="center"/>
    </xf>
    <xf numFmtId="0" fontId="30" fillId="0" borderId="1" xfId="1" applyNumberFormat="1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center" vertical="center"/>
    </xf>
    <xf numFmtId="41" fontId="30" fillId="0" borderId="15" xfId="1" applyNumberFormat="1" applyFont="1" applyFill="1" applyBorder="1" applyAlignment="1">
      <alignment horizontal="center" vertical="center"/>
    </xf>
    <xf numFmtId="0" fontId="31" fillId="0" borderId="15" xfId="0" applyFont="1" applyFill="1" applyBorder="1" applyAlignment="1">
      <alignment horizontal="center" vertical="center"/>
    </xf>
    <xf numFmtId="0" fontId="0" fillId="14" borderId="7" xfId="0" applyFill="1" applyBorder="1" applyAlignment="1">
      <alignment horizontal="center" vertical="center"/>
    </xf>
    <xf numFmtId="0" fontId="0" fillId="14" borderId="14" xfId="0" applyFill="1" applyBorder="1" applyAlignment="1">
      <alignment horizontal="center" vertical="center"/>
    </xf>
    <xf numFmtId="0" fontId="0" fillId="14" borderId="15" xfId="0" applyFill="1" applyBorder="1" applyAlignment="1">
      <alignment horizontal="center" vertical="center"/>
    </xf>
    <xf numFmtId="0" fontId="0" fillId="15" borderId="7" xfId="0" applyFill="1" applyBorder="1" applyAlignment="1">
      <alignment horizontal="center" vertical="center"/>
    </xf>
    <xf numFmtId="0" fontId="0" fillId="15" borderId="14" xfId="0" applyFill="1" applyBorder="1" applyAlignment="1">
      <alignment horizontal="center" vertical="center"/>
    </xf>
    <xf numFmtId="0" fontId="0" fillId="15" borderId="15" xfId="0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</cellXfs>
  <cellStyles count="6">
    <cellStyle name="계산" xfId="5" builtinId="22"/>
    <cellStyle name="쉼표 [0]" xfId="1" builtinId="6"/>
    <cellStyle name="쉼표 [0] 2" xfId="3" xr:uid="{00000000-0005-0000-0000-000002000000}"/>
    <cellStyle name="표준" xfId="0" builtinId="0"/>
    <cellStyle name="표준 3" xfId="2" xr:uid="{00000000-0005-0000-0000-000004000000}"/>
    <cellStyle name="표준 3 2" xfId="4" xr:uid="{00000000-0005-0000-0000-000005000000}"/>
  </cellStyles>
  <dxfs count="0"/>
  <tableStyles count="0" defaultTableStyle="TableStyleMedium2" defaultPivotStyle="PivotStyleLight16"/>
  <colors>
    <mruColors>
      <color rgb="FFFFCCFF"/>
      <color rgb="FFCC66FF"/>
      <color rgb="FFFFCC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145676</xdr:colOff>
      <xdr:row>0</xdr:row>
      <xdr:rowOff>100854</xdr:rowOff>
    </xdr:from>
    <xdr:to>
      <xdr:col>1</xdr:col>
      <xdr:colOff>459441</xdr:colOff>
      <xdr:row>2</xdr:row>
      <xdr:rowOff>96219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676" y="100854"/>
          <a:ext cx="1104340" cy="585915"/>
        </a:xfrm>
        <a:prstGeom prst="rect">
          <a:avLst/>
        </a:prstGeom>
      </xdr:spPr>
    </xdr:pic>
    <xdr:clientData/>
  </xdr:twoCellAnchor>
  <xdr:oneCellAnchor>
    <xdr:from>
      <xdr:col>0</xdr:col>
      <xdr:colOff>145676</xdr:colOff>
      <xdr:row>0</xdr:row>
      <xdr:rowOff>100854</xdr:rowOff>
    </xdr:from>
    <xdr:ext cx="1109383" cy="589277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676" y="100854"/>
          <a:ext cx="1109383" cy="5892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0304DDB-FDEE-4240-902B-0F9E44A17AF8}">
  <we:reference id="wa200005271" version="2.6.1.0" store="ko-KR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XEP449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6" sqref="G6"/>
    </sheetView>
  </sheetViews>
  <sheetFormatPr defaultColWidth="9.125" defaultRowHeight="14.25"/>
  <cols>
    <col min="1" max="1" width="25.25" style="15" customWidth="1"/>
    <col min="2" max="2" width="11.875" style="16" bestFit="1" customWidth="1"/>
    <col min="3" max="3" width="63.125" style="2" customWidth="1"/>
    <col min="4" max="16384" width="9.125" style="2"/>
  </cols>
  <sheetData>
    <row r="1" spans="1:7" ht="20.100000000000001" customHeight="1" thickBot="1">
      <c r="A1" s="210" t="s">
        <v>0</v>
      </c>
      <c r="B1" s="211" t="s">
        <v>2</v>
      </c>
      <c r="C1" s="213" t="s">
        <v>204</v>
      </c>
    </row>
    <row r="2" spans="1:7" ht="20.100000000000001" customHeight="1">
      <c r="A2" s="208" t="s">
        <v>66</v>
      </c>
      <c r="B2" s="209" t="s">
        <v>8</v>
      </c>
      <c r="C2" s="209" t="s">
        <v>275</v>
      </c>
    </row>
    <row r="3" spans="1:7" ht="20.100000000000001" customHeight="1">
      <c r="A3" s="3" t="s">
        <v>55</v>
      </c>
      <c r="B3" s="6" t="s">
        <v>5</v>
      </c>
      <c r="C3" s="6" t="s">
        <v>324</v>
      </c>
    </row>
    <row r="4" spans="1:7" ht="20.100000000000001" customHeight="1">
      <c r="A4" s="3" t="s">
        <v>89</v>
      </c>
      <c r="B4" s="6" t="s">
        <v>8</v>
      </c>
      <c r="C4" s="6" t="s">
        <v>366</v>
      </c>
    </row>
    <row r="5" spans="1:7" ht="20.100000000000001" customHeight="1">
      <c r="A5" s="3" t="s">
        <v>1173</v>
      </c>
      <c r="B5" s="6" t="s">
        <v>217</v>
      </c>
      <c r="C5" s="6" t="s">
        <v>359</v>
      </c>
    </row>
    <row r="6" spans="1:7" ht="20.100000000000001" customHeight="1">
      <c r="A6" s="8" t="s">
        <v>44</v>
      </c>
      <c r="B6" s="6" t="s">
        <v>6</v>
      </c>
      <c r="C6" s="6" t="s">
        <v>368</v>
      </c>
    </row>
    <row r="7" spans="1:7" ht="20.100000000000001" customHeight="1">
      <c r="A7" s="3" t="s">
        <v>142</v>
      </c>
      <c r="B7" s="6" t="s">
        <v>8</v>
      </c>
      <c r="C7" s="6" t="s">
        <v>344</v>
      </c>
    </row>
    <row r="8" spans="1:7" ht="20.100000000000001" customHeight="1">
      <c r="A8" s="3" t="s">
        <v>54</v>
      </c>
      <c r="B8" s="6" t="s">
        <v>8</v>
      </c>
      <c r="C8" s="6" t="s">
        <v>262</v>
      </c>
    </row>
    <row r="9" spans="1:7" ht="20.100000000000001" customHeight="1">
      <c r="A9" s="3" t="s">
        <v>30</v>
      </c>
      <c r="B9" s="6" t="s">
        <v>6</v>
      </c>
      <c r="C9" s="6" t="s">
        <v>304</v>
      </c>
    </row>
    <row r="10" spans="1:7" ht="20.100000000000001" customHeight="1">
      <c r="A10" s="11" t="s">
        <v>141</v>
      </c>
      <c r="B10" s="6" t="s">
        <v>5</v>
      </c>
      <c r="C10" s="6" t="s">
        <v>343</v>
      </c>
    </row>
    <row r="11" spans="1:7" ht="20.100000000000001" customHeight="1">
      <c r="A11" s="3" t="s">
        <v>88</v>
      </c>
      <c r="B11" s="6" t="s">
        <v>217</v>
      </c>
      <c r="C11" s="6" t="s">
        <v>365</v>
      </c>
    </row>
    <row r="12" spans="1:7" ht="20.100000000000001" customHeight="1">
      <c r="A12" s="3" t="s">
        <v>102</v>
      </c>
      <c r="B12" s="6" t="s">
        <v>5</v>
      </c>
      <c r="C12" s="6" t="s">
        <v>406</v>
      </c>
    </row>
    <row r="13" spans="1:7" ht="20.100000000000001" customHeight="1">
      <c r="A13" s="3" t="s">
        <v>13</v>
      </c>
      <c r="B13" s="6" t="s">
        <v>6</v>
      </c>
      <c r="C13" s="6" t="s">
        <v>270</v>
      </c>
    </row>
    <row r="14" spans="1:7" ht="20.100000000000001" customHeight="1">
      <c r="A14" s="3" t="s">
        <v>27</v>
      </c>
      <c r="B14" s="6" t="s">
        <v>8</v>
      </c>
      <c r="C14" s="6" t="s">
        <v>300</v>
      </c>
    </row>
    <row r="15" spans="1:7" ht="20.100000000000001" customHeight="1">
      <c r="A15" s="3" t="s">
        <v>37</v>
      </c>
      <c r="B15" s="6" t="s">
        <v>8</v>
      </c>
      <c r="C15" s="6" t="s">
        <v>318</v>
      </c>
      <c r="E15" s="12"/>
      <c r="F15" s="12"/>
      <c r="G15" s="12"/>
    </row>
    <row r="16" spans="1:7" ht="20.100000000000001" customHeight="1">
      <c r="A16" s="3" t="s">
        <v>222</v>
      </c>
      <c r="B16" s="6" t="s">
        <v>8</v>
      </c>
      <c r="C16" s="6" t="s">
        <v>207</v>
      </c>
    </row>
    <row r="17" spans="1:16370" ht="20.100000000000001" customHeight="1">
      <c r="A17" s="3" t="s">
        <v>96</v>
      </c>
      <c r="B17" s="6" t="s">
        <v>5</v>
      </c>
      <c r="C17" s="6" t="s">
        <v>399</v>
      </c>
    </row>
    <row r="18" spans="1:16370" ht="20.100000000000001" customHeight="1">
      <c r="A18" s="3" t="s">
        <v>1178</v>
      </c>
      <c r="B18" s="6" t="s">
        <v>8</v>
      </c>
      <c r="C18" s="6" t="s">
        <v>261</v>
      </c>
    </row>
    <row r="19" spans="1:16370" ht="20.100000000000001" customHeight="1">
      <c r="A19" s="3" t="s">
        <v>26</v>
      </c>
      <c r="B19" s="6" t="s">
        <v>6</v>
      </c>
      <c r="C19" s="6" t="s">
        <v>298</v>
      </c>
    </row>
    <row r="20" spans="1:16370" ht="20.100000000000001" customHeight="1">
      <c r="A20" s="3" t="s">
        <v>36</v>
      </c>
      <c r="B20" s="6" t="s">
        <v>8</v>
      </c>
      <c r="C20" s="6" t="s">
        <v>313</v>
      </c>
    </row>
    <row r="21" spans="1:16370" ht="20.100000000000001" customHeight="1">
      <c r="A21" s="8" t="s">
        <v>38</v>
      </c>
      <c r="B21" s="6" t="s">
        <v>6</v>
      </c>
      <c r="C21" s="6" t="s">
        <v>319</v>
      </c>
    </row>
    <row r="22" spans="1:16370" ht="20.100000000000001" customHeight="1">
      <c r="A22" s="8" t="s">
        <v>39</v>
      </c>
      <c r="B22" s="5" t="s">
        <v>6</v>
      </c>
      <c r="C22" s="6" t="s">
        <v>329</v>
      </c>
    </row>
    <row r="23" spans="1:16370" ht="20.100000000000001" customHeight="1">
      <c r="A23" s="3" t="s">
        <v>53</v>
      </c>
      <c r="B23" s="6" t="s">
        <v>217</v>
      </c>
      <c r="C23" s="6" t="s">
        <v>380</v>
      </c>
      <c r="D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/>
      <c r="AQW23" s="12"/>
      <c r="AQX23" s="12"/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/>
      <c r="AXA23" s="12"/>
      <c r="AXB23" s="12"/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/>
      <c r="BEW23" s="12"/>
      <c r="BEX23" s="12"/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  <c r="BKJ23" s="12"/>
      <c r="BKK23" s="12"/>
      <c r="BKL23" s="12"/>
      <c r="BKM23" s="12"/>
      <c r="BKN23" s="12"/>
      <c r="BKO23" s="12"/>
      <c r="BKP23" s="12"/>
      <c r="BKQ23" s="12"/>
      <c r="BKR23" s="12"/>
      <c r="BKS23" s="12"/>
      <c r="BKT23" s="12"/>
      <c r="BKU23" s="12"/>
      <c r="BKV23" s="12"/>
      <c r="BKW23" s="12"/>
      <c r="BKX23" s="12"/>
      <c r="BKY23" s="12"/>
      <c r="BKZ23" s="12"/>
      <c r="BLA23" s="12"/>
      <c r="BLB23" s="12"/>
      <c r="BLC23" s="12"/>
      <c r="BLD23" s="12"/>
      <c r="BLE23" s="12"/>
      <c r="BLF23" s="12"/>
      <c r="BLG23" s="12"/>
      <c r="BLH23" s="12"/>
      <c r="BLI23" s="12"/>
      <c r="BLJ23" s="12"/>
      <c r="BLK23" s="12"/>
      <c r="BLL23" s="12"/>
      <c r="BLM23" s="12"/>
      <c r="BLN23" s="12"/>
      <c r="BLO23" s="12"/>
      <c r="BLP23" s="12"/>
      <c r="BLQ23" s="12"/>
      <c r="BLR23" s="12"/>
      <c r="BLS23" s="12"/>
      <c r="BLT23" s="12"/>
      <c r="BLU23" s="12"/>
      <c r="BLV23" s="12"/>
      <c r="BLW23" s="12"/>
      <c r="BLX23" s="12"/>
      <c r="BLY23" s="12"/>
      <c r="BLZ23" s="12"/>
      <c r="BMA23" s="12"/>
      <c r="BMB23" s="12"/>
      <c r="BMC23" s="12"/>
      <c r="BMD23" s="12"/>
      <c r="BME23" s="12"/>
      <c r="BMF23" s="12"/>
      <c r="BMG23" s="12"/>
      <c r="BMH23" s="12"/>
      <c r="BMI23" s="12"/>
      <c r="BMJ23" s="12"/>
      <c r="BMK23" s="12"/>
      <c r="BML23" s="12"/>
      <c r="BMM23" s="12"/>
      <c r="BMN23" s="12"/>
      <c r="BMO23" s="12"/>
      <c r="BMP23" s="12"/>
      <c r="BMQ23" s="12"/>
      <c r="BMR23" s="12"/>
      <c r="BMS23" s="12"/>
      <c r="BMT23" s="12"/>
      <c r="BMU23" s="12"/>
      <c r="BMV23" s="12"/>
      <c r="BMW23" s="12"/>
      <c r="BMX23" s="12"/>
      <c r="BMY23" s="12"/>
      <c r="BMZ23" s="12"/>
      <c r="BNA23" s="12"/>
      <c r="BNB23" s="12"/>
      <c r="BNC23" s="12"/>
      <c r="BND23" s="12"/>
      <c r="BNE23" s="12"/>
      <c r="BNF23" s="12"/>
      <c r="BNG23" s="12"/>
      <c r="BNH23" s="12"/>
      <c r="BNI23" s="12"/>
      <c r="BNJ23" s="12"/>
      <c r="BNK23" s="12"/>
      <c r="BNL23" s="12"/>
      <c r="BNM23" s="12"/>
      <c r="BNN23" s="12"/>
      <c r="BNO23" s="12"/>
      <c r="BNP23" s="12"/>
      <c r="BNQ23" s="12"/>
      <c r="BNR23" s="12"/>
      <c r="BNS23" s="12"/>
      <c r="BNT23" s="12"/>
      <c r="BNU23" s="12"/>
      <c r="BNV23" s="12"/>
      <c r="BNW23" s="12"/>
      <c r="BNX23" s="12"/>
      <c r="BNY23" s="12"/>
      <c r="BNZ23" s="12"/>
      <c r="BOA23" s="12"/>
      <c r="BOB23" s="12"/>
      <c r="BOC23" s="12"/>
      <c r="BOD23" s="12"/>
      <c r="BOE23" s="12"/>
      <c r="BOF23" s="12"/>
      <c r="BOG23" s="12"/>
      <c r="BOH23" s="12"/>
      <c r="BOI23" s="12"/>
      <c r="BOJ23" s="12"/>
      <c r="BOK23" s="12"/>
      <c r="BOL23" s="12"/>
      <c r="BOM23" s="12"/>
      <c r="BON23" s="12"/>
      <c r="BOO23" s="12"/>
      <c r="BOP23" s="12"/>
      <c r="BOQ23" s="12"/>
      <c r="BOR23" s="12"/>
      <c r="BOS23" s="12"/>
      <c r="BOT23" s="12"/>
      <c r="BOU23" s="12"/>
      <c r="BOV23" s="12"/>
      <c r="BOW23" s="12"/>
      <c r="BOX23" s="12"/>
      <c r="BOY23" s="12"/>
      <c r="BOZ23" s="12"/>
      <c r="BPA23" s="12"/>
      <c r="BPB23" s="12"/>
      <c r="BPC23" s="12"/>
      <c r="BPD23" s="12"/>
      <c r="BPE23" s="12"/>
      <c r="BPF23" s="12"/>
      <c r="BPG23" s="12"/>
      <c r="BPH23" s="12"/>
      <c r="BPI23" s="12"/>
      <c r="BPJ23" s="12"/>
      <c r="BPK23" s="12"/>
      <c r="BPL23" s="12"/>
      <c r="BPM23" s="12"/>
      <c r="BPN23" s="12"/>
      <c r="BPO23" s="12"/>
      <c r="BPP23" s="12"/>
      <c r="BPQ23" s="12"/>
      <c r="BPR23" s="12"/>
      <c r="BPS23" s="12"/>
      <c r="BPT23" s="12"/>
      <c r="BPU23" s="12"/>
      <c r="BPV23" s="12"/>
      <c r="BPW23" s="12"/>
      <c r="BPX23" s="12"/>
      <c r="BPY23" s="12"/>
      <c r="BPZ23" s="12"/>
      <c r="BQA23" s="12"/>
      <c r="BQB23" s="12"/>
      <c r="BQC23" s="12"/>
      <c r="BQD23" s="12"/>
      <c r="BQE23" s="12"/>
      <c r="BQF23" s="12"/>
      <c r="BQG23" s="12"/>
      <c r="BQH23" s="12"/>
      <c r="BQI23" s="12"/>
      <c r="BQJ23" s="12"/>
      <c r="BQK23" s="12"/>
      <c r="BQL23" s="12"/>
      <c r="BQM23" s="12"/>
      <c r="BQN23" s="12"/>
      <c r="BQO23" s="12"/>
      <c r="BQP23" s="12"/>
      <c r="BQQ23" s="12"/>
      <c r="BQR23" s="12"/>
      <c r="BQS23" s="12"/>
      <c r="BQT23" s="12"/>
      <c r="BQU23" s="12"/>
      <c r="BQV23" s="12"/>
      <c r="BQW23" s="12"/>
      <c r="BQX23" s="12"/>
      <c r="BQY23" s="12"/>
      <c r="BQZ23" s="12"/>
      <c r="BRA23" s="12"/>
      <c r="BRB23" s="12"/>
      <c r="BRC23" s="12"/>
      <c r="BRD23" s="12"/>
      <c r="BRE23" s="12"/>
      <c r="BRF23" s="12"/>
      <c r="BRG23" s="12"/>
      <c r="BRH23" s="12"/>
      <c r="BRI23" s="12"/>
      <c r="BRJ23" s="12"/>
      <c r="BRK23" s="12"/>
      <c r="BRL23" s="12"/>
      <c r="BRM23" s="12"/>
      <c r="BRN23" s="12"/>
      <c r="BRO23" s="12"/>
      <c r="BRP23" s="12"/>
      <c r="BRQ23" s="12"/>
      <c r="BRR23" s="12"/>
      <c r="BRS23" s="12"/>
      <c r="BRT23" s="12"/>
      <c r="BRU23" s="12"/>
      <c r="BRV23" s="12"/>
      <c r="BRW23" s="12"/>
      <c r="BRX23" s="12"/>
      <c r="BRY23" s="12"/>
      <c r="BRZ23" s="12"/>
      <c r="BSA23" s="12"/>
      <c r="BSB23" s="12"/>
      <c r="BSC23" s="12"/>
      <c r="BSD23" s="12"/>
      <c r="BSE23" s="12"/>
      <c r="BSF23" s="12"/>
      <c r="BSG23" s="12"/>
      <c r="BSH23" s="12"/>
      <c r="BSI23" s="12"/>
      <c r="BSJ23" s="12"/>
      <c r="BSK23" s="12"/>
      <c r="BSL23" s="12"/>
      <c r="BSM23" s="12"/>
      <c r="BSN23" s="12"/>
      <c r="BSO23" s="12"/>
      <c r="BSP23" s="12"/>
      <c r="BSQ23" s="12"/>
      <c r="BSR23" s="12"/>
      <c r="BSS23" s="12"/>
      <c r="BST23" s="12"/>
      <c r="BSU23" s="12"/>
      <c r="BSV23" s="12"/>
      <c r="BSW23" s="12"/>
      <c r="BSX23" s="12"/>
      <c r="BSY23" s="12"/>
      <c r="BSZ23" s="12"/>
      <c r="BTA23" s="12"/>
      <c r="BTB23" s="12"/>
      <c r="BTC23" s="12"/>
      <c r="BTD23" s="12"/>
      <c r="BTE23" s="12"/>
      <c r="BTF23" s="12"/>
      <c r="BTG23" s="12"/>
      <c r="BTH23" s="12"/>
      <c r="BTI23" s="12"/>
      <c r="BTJ23" s="12"/>
      <c r="BTK23" s="12"/>
      <c r="BTL23" s="12"/>
      <c r="BTM23" s="12"/>
      <c r="BTN23" s="12"/>
      <c r="BTO23" s="12"/>
      <c r="BTP23" s="12"/>
      <c r="BTQ23" s="12"/>
      <c r="BTR23" s="12"/>
      <c r="BTS23" s="12"/>
      <c r="BTT23" s="12"/>
      <c r="BTU23" s="12"/>
      <c r="BTV23" s="12"/>
      <c r="BTW23" s="12"/>
      <c r="BTX23" s="12"/>
      <c r="BTY23" s="12"/>
      <c r="BTZ23" s="12"/>
      <c r="BUA23" s="12"/>
      <c r="BUB23" s="12"/>
      <c r="BUC23" s="12"/>
      <c r="BUD23" s="12"/>
      <c r="BUE23" s="12"/>
      <c r="BUF23" s="12"/>
      <c r="BUG23" s="12"/>
      <c r="BUH23" s="12"/>
      <c r="BUI23" s="12"/>
      <c r="BUJ23" s="12"/>
      <c r="BUK23" s="12"/>
      <c r="BUL23" s="12"/>
      <c r="BUM23" s="12"/>
      <c r="BUN23" s="12"/>
      <c r="BUO23" s="12"/>
      <c r="BUP23" s="12"/>
      <c r="BUQ23" s="12"/>
      <c r="BUR23" s="12"/>
      <c r="BUS23" s="12"/>
      <c r="BUT23" s="12"/>
      <c r="BUU23" s="12"/>
      <c r="BUV23" s="12"/>
      <c r="BUW23" s="12"/>
      <c r="BUX23" s="12"/>
      <c r="BUY23" s="12"/>
      <c r="BUZ23" s="12"/>
      <c r="BVA23" s="12"/>
      <c r="BVB23" s="12"/>
      <c r="BVC23" s="12"/>
      <c r="BVD23" s="12"/>
      <c r="BVE23" s="12"/>
      <c r="BVF23" s="12"/>
      <c r="BVG23" s="12"/>
      <c r="BVH23" s="12"/>
      <c r="BVI23" s="12"/>
      <c r="BVJ23" s="12"/>
      <c r="BVK23" s="12"/>
      <c r="BVL23" s="12"/>
      <c r="BVM23" s="12"/>
      <c r="BVN23" s="12"/>
      <c r="BVO23" s="12"/>
      <c r="BVP23" s="12"/>
      <c r="BVQ23" s="12"/>
      <c r="BVR23" s="12"/>
      <c r="BVS23" s="12"/>
      <c r="BVT23" s="12"/>
      <c r="BVU23" s="12"/>
      <c r="BVV23" s="12"/>
      <c r="BVW23" s="12"/>
      <c r="BVX23" s="12"/>
      <c r="BVY23" s="12"/>
      <c r="BVZ23" s="12"/>
      <c r="BWA23" s="12"/>
      <c r="BWB23" s="12"/>
      <c r="BWC23" s="12"/>
      <c r="BWD23" s="12"/>
      <c r="BWE23" s="12"/>
      <c r="BWF23" s="12"/>
      <c r="BWG23" s="12"/>
      <c r="BWH23" s="12"/>
      <c r="BWI23" s="12"/>
      <c r="BWJ23" s="12"/>
      <c r="BWK23" s="12"/>
      <c r="BWL23" s="12"/>
      <c r="BWM23" s="12"/>
      <c r="BWN23" s="12"/>
      <c r="BWO23" s="12"/>
      <c r="BWP23" s="12"/>
      <c r="BWQ23" s="12"/>
      <c r="BWR23" s="12"/>
      <c r="BWS23" s="12"/>
      <c r="BWT23" s="12"/>
      <c r="BWU23" s="12"/>
      <c r="BWV23" s="12"/>
      <c r="BWW23" s="12"/>
      <c r="BWX23" s="12"/>
      <c r="BWY23" s="12"/>
      <c r="BWZ23" s="12"/>
      <c r="BXA23" s="12"/>
      <c r="BXB23" s="12"/>
      <c r="BXC23" s="12"/>
      <c r="BXD23" s="12"/>
      <c r="BXE23" s="12"/>
      <c r="BXF23" s="12"/>
      <c r="BXG23" s="12"/>
      <c r="BXH23" s="12"/>
      <c r="BXI23" s="12"/>
      <c r="BXJ23" s="12"/>
      <c r="BXK23" s="12"/>
      <c r="BXL23" s="12"/>
      <c r="BXM23" s="12"/>
      <c r="BXN23" s="12"/>
      <c r="BXO23" s="12"/>
      <c r="BXP23" s="12"/>
      <c r="BXQ23" s="12"/>
      <c r="BXR23" s="12"/>
      <c r="BXS23" s="12"/>
      <c r="BXT23" s="12"/>
      <c r="BXU23" s="12"/>
      <c r="BXV23" s="12"/>
      <c r="BXW23" s="12"/>
      <c r="BXX23" s="12"/>
      <c r="BXY23" s="12"/>
      <c r="BXZ23" s="12"/>
      <c r="BYA23" s="12"/>
      <c r="BYB23" s="12"/>
      <c r="BYC23" s="12"/>
      <c r="BYD23" s="12"/>
      <c r="BYE23" s="12"/>
      <c r="BYF23" s="12"/>
      <c r="BYG23" s="12"/>
      <c r="BYH23" s="12"/>
      <c r="BYI23" s="12"/>
      <c r="BYJ23" s="12"/>
      <c r="BYK23" s="12"/>
      <c r="BYL23" s="12"/>
      <c r="BYM23" s="12"/>
      <c r="BYN23" s="12"/>
      <c r="BYO23" s="12"/>
      <c r="BYP23" s="12"/>
      <c r="BYQ23" s="12"/>
      <c r="BYR23" s="12"/>
      <c r="BYS23" s="12"/>
      <c r="BYT23" s="12"/>
      <c r="BYU23" s="12"/>
      <c r="BYV23" s="12"/>
      <c r="BYW23" s="12"/>
      <c r="BYX23" s="12"/>
      <c r="BYY23" s="12"/>
      <c r="BYZ23" s="12"/>
      <c r="BZA23" s="12"/>
      <c r="BZB23" s="12"/>
      <c r="BZC23" s="12"/>
      <c r="BZD23" s="12"/>
      <c r="BZE23" s="12"/>
      <c r="BZF23" s="12"/>
      <c r="BZG23" s="12"/>
      <c r="BZH23" s="12"/>
      <c r="BZI23" s="12"/>
      <c r="BZJ23" s="12"/>
      <c r="BZK23" s="12"/>
      <c r="BZL23" s="12"/>
      <c r="BZM23" s="12"/>
      <c r="BZN23" s="12"/>
      <c r="BZO23" s="12"/>
      <c r="BZP23" s="12"/>
      <c r="BZQ23" s="12"/>
      <c r="BZR23" s="12"/>
      <c r="BZS23" s="12"/>
      <c r="BZT23" s="12"/>
      <c r="BZU23" s="12"/>
      <c r="BZV23" s="12"/>
      <c r="BZW23" s="12"/>
      <c r="BZX23" s="12"/>
      <c r="BZY23" s="12"/>
      <c r="BZZ23" s="12"/>
      <c r="CAA23" s="12"/>
      <c r="CAB23" s="12"/>
      <c r="CAC23" s="12"/>
      <c r="CAD23" s="12"/>
      <c r="CAE23" s="12"/>
      <c r="CAF23" s="12"/>
      <c r="CAG23" s="12"/>
      <c r="CAH23" s="12"/>
      <c r="CAI23" s="12"/>
      <c r="CAJ23" s="12"/>
      <c r="CAK23" s="12"/>
      <c r="CAL23" s="12"/>
      <c r="CAM23" s="12"/>
      <c r="CAN23" s="12"/>
      <c r="CAO23" s="12"/>
      <c r="CAP23" s="12"/>
      <c r="CAQ23" s="12"/>
      <c r="CAR23" s="12"/>
      <c r="CAS23" s="12"/>
      <c r="CAT23" s="12"/>
      <c r="CAU23" s="12"/>
      <c r="CAV23" s="12"/>
      <c r="CAW23" s="12"/>
      <c r="CAX23" s="12"/>
      <c r="CAY23" s="12"/>
      <c r="CAZ23" s="12"/>
      <c r="CBA23" s="12"/>
      <c r="CBB23" s="12"/>
      <c r="CBC23" s="12"/>
      <c r="CBD23" s="12"/>
      <c r="CBE23" s="12"/>
      <c r="CBF23" s="12"/>
      <c r="CBG23" s="12"/>
      <c r="CBH23" s="12"/>
      <c r="CBI23" s="12"/>
      <c r="CBJ23" s="12"/>
      <c r="CBK23" s="12"/>
      <c r="CBL23" s="12"/>
      <c r="CBM23" s="12"/>
      <c r="CBN23" s="12"/>
      <c r="CBO23" s="12"/>
      <c r="CBP23" s="12"/>
      <c r="CBQ23" s="12"/>
      <c r="CBR23" s="12"/>
      <c r="CBS23" s="12"/>
      <c r="CBT23" s="12"/>
      <c r="CBU23" s="12"/>
      <c r="CBV23" s="12"/>
      <c r="CBW23" s="12"/>
      <c r="CBX23" s="12"/>
      <c r="CBY23" s="12"/>
      <c r="CBZ23" s="12"/>
      <c r="CCA23" s="12"/>
      <c r="CCB23" s="12"/>
      <c r="CCC23" s="12"/>
      <c r="CCD23" s="12"/>
      <c r="CCE23" s="12"/>
      <c r="CCF23" s="12"/>
      <c r="CCG23" s="12"/>
      <c r="CCH23" s="12"/>
      <c r="CCI23" s="12"/>
      <c r="CCJ23" s="12"/>
      <c r="CCK23" s="12"/>
      <c r="CCL23" s="12"/>
      <c r="CCM23" s="12"/>
      <c r="CCN23" s="12"/>
      <c r="CCO23" s="12"/>
      <c r="CCP23" s="12"/>
      <c r="CCQ23" s="12"/>
      <c r="CCR23" s="12"/>
      <c r="CCS23" s="12"/>
      <c r="CCT23" s="12"/>
      <c r="CCU23" s="12"/>
      <c r="CCV23" s="12"/>
      <c r="CCW23" s="12"/>
      <c r="CCX23" s="12"/>
      <c r="CCY23" s="12"/>
      <c r="CCZ23" s="12"/>
      <c r="CDA23" s="12"/>
      <c r="CDB23" s="12"/>
      <c r="CDC23" s="12"/>
      <c r="CDD23" s="12"/>
      <c r="CDE23" s="12"/>
      <c r="CDF23" s="12"/>
      <c r="CDG23" s="12"/>
      <c r="CDH23" s="12"/>
      <c r="CDI23" s="12"/>
      <c r="CDJ23" s="12"/>
      <c r="CDK23" s="12"/>
      <c r="CDL23" s="12"/>
      <c r="CDM23" s="12"/>
      <c r="CDN23" s="12"/>
      <c r="CDO23" s="12"/>
      <c r="CDP23" s="12"/>
      <c r="CDQ23" s="12"/>
      <c r="CDR23" s="12"/>
      <c r="CDS23" s="12"/>
      <c r="CDT23" s="12"/>
      <c r="CDU23" s="12"/>
      <c r="CDV23" s="12"/>
      <c r="CDW23" s="12"/>
      <c r="CDX23" s="12"/>
      <c r="CDY23" s="12"/>
      <c r="CDZ23" s="12"/>
      <c r="CEA23" s="12"/>
      <c r="CEB23" s="12"/>
      <c r="CEC23" s="12"/>
      <c r="CED23" s="12"/>
      <c r="CEE23" s="12"/>
      <c r="CEF23" s="12"/>
      <c r="CEG23" s="12"/>
      <c r="CEH23" s="12"/>
      <c r="CEI23" s="12"/>
      <c r="CEJ23" s="12"/>
      <c r="CEK23" s="12"/>
      <c r="CEL23" s="12"/>
      <c r="CEM23" s="12"/>
      <c r="CEN23" s="12"/>
      <c r="CEO23" s="12"/>
      <c r="CEP23" s="12"/>
      <c r="CEQ23" s="12"/>
      <c r="CER23" s="12"/>
      <c r="CES23" s="12"/>
      <c r="CET23" s="12"/>
      <c r="CEU23" s="12"/>
      <c r="CEV23" s="12"/>
      <c r="CEW23" s="12"/>
      <c r="CEX23" s="12"/>
      <c r="CEY23" s="12"/>
      <c r="CEZ23" s="12"/>
      <c r="CFA23" s="12"/>
      <c r="CFB23" s="12"/>
      <c r="CFC23" s="12"/>
      <c r="CFD23" s="12"/>
      <c r="CFE23" s="12"/>
      <c r="CFF23" s="12"/>
      <c r="CFG23" s="12"/>
      <c r="CFH23" s="12"/>
      <c r="CFI23" s="12"/>
      <c r="CFJ23" s="12"/>
      <c r="CFK23" s="12"/>
      <c r="CFL23" s="12"/>
      <c r="CFM23" s="12"/>
      <c r="CFN23" s="12"/>
      <c r="CFO23" s="12"/>
      <c r="CFP23" s="12"/>
      <c r="CFQ23" s="12"/>
      <c r="CFR23" s="12"/>
      <c r="CFS23" s="12"/>
      <c r="CFT23" s="12"/>
      <c r="CFU23" s="12"/>
      <c r="CFV23" s="12"/>
      <c r="CFW23" s="12"/>
      <c r="CFX23" s="12"/>
      <c r="CFY23" s="12"/>
      <c r="CFZ23" s="12"/>
      <c r="CGA23" s="12"/>
      <c r="CGB23" s="12"/>
      <c r="CGC23" s="12"/>
      <c r="CGD23" s="12"/>
      <c r="CGE23" s="12"/>
      <c r="CGF23" s="12"/>
      <c r="CGG23" s="12"/>
      <c r="CGH23" s="12"/>
      <c r="CGI23" s="12"/>
      <c r="CGJ23" s="12"/>
      <c r="CGK23" s="12"/>
      <c r="CGL23" s="12"/>
      <c r="CGM23" s="12"/>
      <c r="CGN23" s="12"/>
      <c r="CGO23" s="12"/>
      <c r="CGP23" s="12"/>
      <c r="CGQ23" s="12"/>
      <c r="CGR23" s="12"/>
      <c r="CGS23" s="12"/>
      <c r="CGT23" s="12"/>
      <c r="CGU23" s="12"/>
      <c r="CGV23" s="12"/>
      <c r="CGW23" s="12"/>
      <c r="CGX23" s="12"/>
      <c r="CGY23" s="12"/>
      <c r="CGZ23" s="12"/>
      <c r="CHA23" s="12"/>
      <c r="CHB23" s="12"/>
      <c r="CHC23" s="12"/>
      <c r="CHD23" s="12"/>
      <c r="CHE23" s="12"/>
      <c r="CHF23" s="12"/>
      <c r="CHG23" s="12"/>
      <c r="CHH23" s="12"/>
      <c r="CHI23" s="12"/>
      <c r="CHJ23" s="12"/>
      <c r="CHK23" s="12"/>
      <c r="CHL23" s="12"/>
      <c r="CHM23" s="12"/>
      <c r="CHN23" s="12"/>
      <c r="CHO23" s="12"/>
      <c r="CHP23" s="12"/>
      <c r="CHQ23" s="12"/>
      <c r="CHR23" s="12"/>
      <c r="CHS23" s="12"/>
      <c r="CHT23" s="12"/>
      <c r="CHU23" s="12"/>
      <c r="CHV23" s="12"/>
      <c r="CHW23" s="12"/>
      <c r="CHX23" s="12"/>
      <c r="CHY23" s="12"/>
      <c r="CHZ23" s="12"/>
      <c r="CIA23" s="12"/>
      <c r="CIB23" s="12"/>
      <c r="CIC23" s="12"/>
      <c r="CID23" s="12"/>
      <c r="CIE23" s="12"/>
      <c r="CIF23" s="12"/>
      <c r="CIG23" s="12"/>
      <c r="CIH23" s="12"/>
      <c r="CII23" s="12"/>
      <c r="CIJ23" s="12"/>
      <c r="CIK23" s="12"/>
      <c r="CIL23" s="12"/>
      <c r="CIM23" s="12"/>
      <c r="CIN23" s="12"/>
      <c r="CIO23" s="12"/>
      <c r="CIP23" s="12"/>
      <c r="CIQ23" s="12"/>
      <c r="CIR23" s="12"/>
      <c r="CIS23" s="12"/>
      <c r="CIT23" s="12"/>
      <c r="CIU23" s="12"/>
      <c r="CIV23" s="12"/>
      <c r="CIW23" s="12"/>
      <c r="CIX23" s="12"/>
      <c r="CIY23" s="12"/>
      <c r="CIZ23" s="12"/>
      <c r="CJA23" s="12"/>
      <c r="CJB23" s="12"/>
      <c r="CJC23" s="12"/>
      <c r="CJD23" s="12"/>
      <c r="CJE23" s="12"/>
      <c r="CJF23" s="12"/>
      <c r="CJG23" s="12"/>
      <c r="CJH23" s="12"/>
      <c r="CJI23" s="12"/>
      <c r="CJJ23" s="12"/>
      <c r="CJK23" s="12"/>
      <c r="CJL23" s="12"/>
      <c r="CJM23" s="12"/>
      <c r="CJN23" s="12"/>
      <c r="CJO23" s="12"/>
      <c r="CJP23" s="12"/>
      <c r="CJQ23" s="12"/>
      <c r="CJR23" s="12"/>
      <c r="CJS23" s="12"/>
      <c r="CJT23" s="12"/>
      <c r="CJU23" s="12"/>
      <c r="CJV23" s="12"/>
      <c r="CJW23" s="12"/>
      <c r="CJX23" s="12"/>
      <c r="CJY23" s="12"/>
      <c r="CJZ23" s="12"/>
      <c r="CKA23" s="12"/>
      <c r="CKB23" s="12"/>
      <c r="CKC23" s="12"/>
      <c r="CKD23" s="12"/>
      <c r="CKE23" s="12"/>
      <c r="CKF23" s="12"/>
      <c r="CKG23" s="12"/>
      <c r="CKH23" s="12"/>
      <c r="CKI23" s="12"/>
      <c r="CKJ23" s="12"/>
      <c r="CKK23" s="12"/>
      <c r="CKL23" s="12"/>
      <c r="CKM23" s="12"/>
      <c r="CKN23" s="12"/>
      <c r="CKO23" s="12"/>
      <c r="CKP23" s="12"/>
      <c r="CKQ23" s="12"/>
      <c r="CKR23" s="12"/>
      <c r="CKS23" s="12"/>
      <c r="CKT23" s="12"/>
      <c r="CKU23" s="12"/>
      <c r="CKV23" s="12"/>
      <c r="CKW23" s="12"/>
      <c r="CKX23" s="12"/>
      <c r="CKY23" s="12"/>
      <c r="CKZ23" s="12"/>
      <c r="CLA23" s="12"/>
      <c r="CLB23" s="12"/>
      <c r="CLC23" s="12"/>
      <c r="CLD23" s="12"/>
      <c r="CLE23" s="12"/>
      <c r="CLF23" s="12"/>
      <c r="CLG23" s="12"/>
      <c r="CLH23" s="12"/>
      <c r="CLI23" s="12"/>
      <c r="CLJ23" s="12"/>
      <c r="CLK23" s="12"/>
      <c r="CLL23" s="12"/>
      <c r="CLM23" s="12"/>
      <c r="CLN23" s="12"/>
      <c r="CLO23" s="12"/>
      <c r="CLP23" s="12"/>
      <c r="CLQ23" s="12"/>
      <c r="CLR23" s="12"/>
      <c r="CLS23" s="12"/>
      <c r="CLT23" s="12"/>
      <c r="CLU23" s="12"/>
      <c r="CLV23" s="12"/>
      <c r="CLW23" s="12"/>
      <c r="CLX23" s="12"/>
      <c r="CLY23" s="12"/>
      <c r="CLZ23" s="12"/>
      <c r="CMA23" s="12"/>
      <c r="CMB23" s="12"/>
      <c r="CMC23" s="12"/>
      <c r="CMD23" s="12"/>
      <c r="CME23" s="12"/>
      <c r="CMF23" s="12"/>
      <c r="CMG23" s="12"/>
      <c r="CMH23" s="12"/>
      <c r="CMI23" s="12"/>
      <c r="CMJ23" s="12"/>
      <c r="CMK23" s="12"/>
      <c r="CML23" s="12"/>
      <c r="CMM23" s="12"/>
      <c r="CMN23" s="12"/>
      <c r="CMO23" s="12"/>
      <c r="CMP23" s="12"/>
      <c r="CMQ23" s="12"/>
      <c r="CMR23" s="12"/>
      <c r="CMS23" s="12"/>
      <c r="CMT23" s="12"/>
      <c r="CMU23" s="12"/>
      <c r="CMV23" s="12"/>
      <c r="CMW23" s="12"/>
      <c r="CMX23" s="12"/>
      <c r="CMY23" s="12"/>
      <c r="CMZ23" s="12"/>
      <c r="CNA23" s="12"/>
      <c r="CNB23" s="12"/>
      <c r="CNC23" s="12"/>
      <c r="CND23" s="12"/>
      <c r="CNE23" s="12"/>
      <c r="CNF23" s="12"/>
      <c r="CNG23" s="12"/>
      <c r="CNH23" s="12"/>
      <c r="CNI23" s="12"/>
      <c r="CNJ23" s="12"/>
      <c r="CNK23" s="12"/>
      <c r="CNL23" s="12"/>
      <c r="CNM23" s="12"/>
      <c r="CNN23" s="12"/>
      <c r="CNO23" s="12"/>
      <c r="CNP23" s="12"/>
      <c r="CNQ23" s="12"/>
      <c r="CNR23" s="12"/>
      <c r="CNS23" s="12"/>
      <c r="CNT23" s="12"/>
      <c r="CNU23" s="12"/>
      <c r="CNV23" s="12"/>
      <c r="CNW23" s="12"/>
      <c r="CNX23" s="12"/>
      <c r="CNY23" s="12"/>
      <c r="CNZ23" s="12"/>
      <c r="COA23" s="12"/>
      <c r="COB23" s="12"/>
      <c r="COC23" s="12"/>
      <c r="COD23" s="12"/>
      <c r="COE23" s="12"/>
      <c r="COF23" s="12"/>
      <c r="COG23" s="12"/>
      <c r="COH23" s="12"/>
      <c r="COI23" s="12"/>
      <c r="COJ23" s="12"/>
      <c r="COK23" s="12"/>
      <c r="COL23" s="12"/>
      <c r="COM23" s="12"/>
      <c r="CON23" s="12"/>
      <c r="COO23" s="12"/>
      <c r="COP23" s="12"/>
      <c r="COQ23" s="12"/>
      <c r="COR23" s="12"/>
      <c r="COS23" s="12"/>
      <c r="COT23" s="12"/>
      <c r="COU23" s="12"/>
      <c r="COV23" s="12"/>
      <c r="COW23" s="12"/>
      <c r="COX23" s="12"/>
      <c r="COY23" s="12"/>
      <c r="COZ23" s="12"/>
      <c r="CPA23" s="12"/>
      <c r="CPB23" s="12"/>
      <c r="CPC23" s="12"/>
      <c r="CPD23" s="12"/>
      <c r="CPE23" s="12"/>
      <c r="CPF23" s="12"/>
      <c r="CPG23" s="12"/>
      <c r="CPH23" s="12"/>
      <c r="CPI23" s="12"/>
      <c r="CPJ23" s="12"/>
      <c r="CPK23" s="12"/>
      <c r="CPL23" s="12"/>
      <c r="CPM23" s="12"/>
      <c r="CPN23" s="12"/>
      <c r="CPO23" s="12"/>
      <c r="CPP23" s="12"/>
      <c r="CPQ23" s="12"/>
      <c r="CPR23" s="12"/>
      <c r="CPS23" s="12"/>
      <c r="CPT23" s="12"/>
      <c r="CPU23" s="12"/>
      <c r="CPV23" s="12"/>
      <c r="CPW23" s="12"/>
      <c r="CPX23" s="12"/>
      <c r="CPY23" s="12"/>
      <c r="CPZ23" s="12"/>
      <c r="CQA23" s="12"/>
      <c r="CQB23" s="12"/>
      <c r="CQC23" s="12"/>
      <c r="CQD23" s="12"/>
      <c r="CQE23" s="12"/>
      <c r="CQF23" s="12"/>
      <c r="CQG23" s="12"/>
      <c r="CQH23" s="12"/>
      <c r="CQI23" s="12"/>
      <c r="CQJ23" s="12"/>
      <c r="CQK23" s="12"/>
      <c r="CQL23" s="12"/>
      <c r="CQM23" s="12"/>
      <c r="CQN23" s="12"/>
      <c r="CQO23" s="12"/>
      <c r="CQP23" s="12"/>
      <c r="CQQ23" s="12"/>
      <c r="CQR23" s="12"/>
      <c r="CQS23" s="12"/>
      <c r="CQT23" s="12"/>
      <c r="CQU23" s="12"/>
      <c r="CQV23" s="12"/>
      <c r="CQW23" s="12"/>
      <c r="CQX23" s="12"/>
      <c r="CQY23" s="12"/>
      <c r="CQZ23" s="12"/>
      <c r="CRA23" s="12"/>
      <c r="CRB23" s="12"/>
      <c r="CRC23" s="12"/>
      <c r="CRD23" s="12"/>
      <c r="CRE23" s="12"/>
      <c r="CRF23" s="12"/>
      <c r="CRG23" s="12"/>
      <c r="CRH23" s="12"/>
      <c r="CRI23" s="12"/>
      <c r="CRJ23" s="12"/>
      <c r="CRK23" s="12"/>
      <c r="CRL23" s="12"/>
      <c r="CRM23" s="12"/>
      <c r="CRN23" s="12"/>
      <c r="CRO23" s="12"/>
      <c r="CRP23" s="12"/>
      <c r="CRQ23" s="12"/>
      <c r="CRR23" s="12"/>
      <c r="CRS23" s="12"/>
      <c r="CRT23" s="12"/>
      <c r="CRU23" s="12"/>
      <c r="CRV23" s="12"/>
      <c r="CRW23" s="12"/>
      <c r="CRX23" s="12"/>
      <c r="CRY23" s="12"/>
      <c r="CRZ23" s="12"/>
      <c r="CSA23" s="12"/>
      <c r="CSB23" s="12"/>
      <c r="CSC23" s="12"/>
      <c r="CSD23" s="12"/>
      <c r="CSE23" s="12"/>
      <c r="CSF23" s="12"/>
      <c r="CSG23" s="12"/>
      <c r="CSH23" s="12"/>
      <c r="CSI23" s="12"/>
      <c r="CSJ23" s="12"/>
      <c r="CSK23" s="12"/>
      <c r="CSL23" s="12"/>
      <c r="CSM23" s="12"/>
      <c r="CSN23" s="12"/>
      <c r="CSO23" s="12"/>
      <c r="CSP23" s="12"/>
      <c r="CSQ23" s="12"/>
      <c r="CSR23" s="12"/>
      <c r="CSS23" s="12"/>
      <c r="CST23" s="12"/>
      <c r="CSU23" s="12"/>
      <c r="CSV23" s="12"/>
      <c r="CSW23" s="12"/>
      <c r="CSX23" s="12"/>
      <c r="CSY23" s="12"/>
      <c r="CSZ23" s="12"/>
      <c r="CTA23" s="12"/>
      <c r="CTB23" s="12"/>
      <c r="CTC23" s="12"/>
      <c r="CTD23" s="12"/>
      <c r="CTE23" s="12"/>
      <c r="CTF23" s="12"/>
      <c r="CTG23" s="12"/>
      <c r="CTH23" s="12"/>
      <c r="CTI23" s="12"/>
      <c r="CTJ23" s="12"/>
      <c r="CTK23" s="12"/>
      <c r="CTL23" s="12"/>
      <c r="CTM23" s="12"/>
      <c r="CTN23" s="12"/>
      <c r="CTO23" s="12"/>
      <c r="CTP23" s="12"/>
      <c r="CTQ23" s="12"/>
      <c r="CTR23" s="12"/>
      <c r="CTS23" s="12"/>
      <c r="CTT23" s="12"/>
      <c r="CTU23" s="12"/>
      <c r="CTV23" s="12"/>
      <c r="CTW23" s="12"/>
      <c r="CTX23" s="12"/>
      <c r="CTY23" s="12"/>
      <c r="CTZ23" s="12"/>
      <c r="CUA23" s="12"/>
      <c r="CUB23" s="12"/>
      <c r="CUC23" s="12"/>
      <c r="CUD23" s="12"/>
      <c r="CUE23" s="12"/>
      <c r="CUF23" s="12"/>
      <c r="CUG23" s="12"/>
      <c r="CUH23" s="12"/>
      <c r="CUI23" s="12"/>
      <c r="CUJ23" s="12"/>
      <c r="CUK23" s="12"/>
      <c r="CUL23" s="12"/>
      <c r="CUM23" s="12"/>
      <c r="CUN23" s="12"/>
      <c r="CUO23" s="12"/>
      <c r="CUP23" s="12"/>
      <c r="CUQ23" s="12"/>
      <c r="CUR23" s="12"/>
      <c r="CUS23" s="12"/>
      <c r="CUT23" s="12"/>
      <c r="CUU23" s="12"/>
      <c r="CUV23" s="12"/>
      <c r="CUW23" s="12"/>
      <c r="CUX23" s="12"/>
      <c r="CUY23" s="12"/>
      <c r="CUZ23" s="12"/>
      <c r="CVA23" s="12"/>
      <c r="CVB23" s="12"/>
      <c r="CVC23" s="12"/>
      <c r="CVD23" s="12"/>
      <c r="CVE23" s="12"/>
      <c r="CVF23" s="12"/>
      <c r="CVG23" s="12"/>
      <c r="CVH23" s="12"/>
      <c r="CVI23" s="12"/>
      <c r="CVJ23" s="12"/>
      <c r="CVK23" s="12"/>
      <c r="CVL23" s="12"/>
      <c r="CVM23" s="12"/>
      <c r="CVN23" s="12"/>
      <c r="CVO23" s="12"/>
      <c r="CVP23" s="12"/>
      <c r="CVQ23" s="12"/>
      <c r="CVR23" s="12"/>
      <c r="CVS23" s="12"/>
      <c r="CVT23" s="12"/>
      <c r="CVU23" s="12"/>
      <c r="CVV23" s="12"/>
      <c r="CVW23" s="12"/>
      <c r="CVX23" s="12"/>
      <c r="CVY23" s="12"/>
      <c r="CVZ23" s="12"/>
      <c r="CWA23" s="12"/>
      <c r="CWB23" s="12"/>
      <c r="CWC23" s="12"/>
      <c r="CWD23" s="12"/>
      <c r="CWE23" s="12"/>
      <c r="CWF23" s="12"/>
      <c r="CWG23" s="12"/>
      <c r="CWH23" s="12"/>
      <c r="CWI23" s="12"/>
      <c r="CWJ23" s="12"/>
      <c r="CWK23" s="12"/>
      <c r="CWL23" s="12"/>
      <c r="CWM23" s="12"/>
      <c r="CWN23" s="12"/>
      <c r="CWO23" s="12"/>
      <c r="CWP23" s="12"/>
      <c r="CWQ23" s="12"/>
      <c r="CWR23" s="12"/>
      <c r="CWS23" s="12"/>
      <c r="CWT23" s="12"/>
      <c r="CWU23" s="12"/>
      <c r="CWV23" s="12"/>
      <c r="CWW23" s="12"/>
      <c r="CWX23" s="12"/>
      <c r="CWY23" s="12"/>
      <c r="CWZ23" s="12"/>
      <c r="CXA23" s="12"/>
      <c r="CXB23" s="12"/>
      <c r="CXC23" s="12"/>
      <c r="CXD23" s="12"/>
      <c r="CXE23" s="12"/>
      <c r="CXF23" s="12"/>
      <c r="CXG23" s="12"/>
      <c r="CXH23" s="12"/>
      <c r="CXI23" s="12"/>
      <c r="CXJ23" s="12"/>
      <c r="CXK23" s="12"/>
      <c r="CXL23" s="12"/>
      <c r="CXM23" s="12"/>
      <c r="CXN23" s="12"/>
      <c r="CXO23" s="12"/>
      <c r="CXP23" s="12"/>
      <c r="CXQ23" s="12"/>
      <c r="CXR23" s="12"/>
      <c r="CXS23" s="12"/>
      <c r="CXT23" s="12"/>
      <c r="CXU23" s="12"/>
      <c r="CXV23" s="12"/>
      <c r="CXW23" s="12"/>
      <c r="CXX23" s="12"/>
      <c r="CXY23" s="12"/>
      <c r="CXZ23" s="12"/>
      <c r="CYA23" s="12"/>
      <c r="CYB23" s="12"/>
      <c r="CYC23" s="12"/>
      <c r="CYD23" s="12"/>
      <c r="CYE23" s="12"/>
      <c r="CYF23" s="12"/>
      <c r="CYG23" s="12"/>
      <c r="CYH23" s="12"/>
      <c r="CYI23" s="12"/>
      <c r="CYJ23" s="12"/>
      <c r="CYK23" s="12"/>
      <c r="CYL23" s="12"/>
      <c r="CYM23" s="12"/>
      <c r="CYN23" s="12"/>
      <c r="CYO23" s="12"/>
      <c r="CYP23" s="12"/>
      <c r="CYQ23" s="12"/>
      <c r="CYR23" s="12"/>
      <c r="CYS23" s="12"/>
      <c r="CYT23" s="12"/>
      <c r="CYU23" s="12"/>
      <c r="CYV23" s="12"/>
      <c r="CYW23" s="12"/>
      <c r="CYX23" s="12"/>
      <c r="CYY23" s="12"/>
      <c r="CYZ23" s="12"/>
      <c r="CZA23" s="12"/>
      <c r="CZB23" s="12"/>
      <c r="CZC23" s="12"/>
      <c r="CZD23" s="12"/>
      <c r="CZE23" s="12"/>
      <c r="CZF23" s="12"/>
      <c r="CZG23" s="12"/>
      <c r="CZH23" s="12"/>
      <c r="CZI23" s="12"/>
      <c r="CZJ23" s="12"/>
      <c r="CZK23" s="12"/>
      <c r="CZL23" s="12"/>
      <c r="CZM23" s="12"/>
      <c r="CZN23" s="12"/>
      <c r="CZO23" s="12"/>
      <c r="CZP23" s="12"/>
      <c r="CZQ23" s="12"/>
      <c r="CZR23" s="12"/>
      <c r="CZS23" s="12"/>
      <c r="CZT23" s="12"/>
      <c r="CZU23" s="12"/>
      <c r="CZV23" s="12"/>
      <c r="CZW23" s="12"/>
      <c r="CZX23" s="12"/>
      <c r="CZY23" s="12"/>
      <c r="CZZ23" s="12"/>
      <c r="DAA23" s="12"/>
      <c r="DAB23" s="12"/>
      <c r="DAC23" s="12"/>
      <c r="DAD23" s="12"/>
      <c r="DAE23" s="12"/>
      <c r="DAF23" s="12"/>
      <c r="DAG23" s="12"/>
      <c r="DAH23" s="12"/>
      <c r="DAI23" s="12"/>
      <c r="DAJ23" s="12"/>
      <c r="DAK23" s="12"/>
      <c r="DAL23" s="12"/>
      <c r="DAM23" s="12"/>
      <c r="DAN23" s="12"/>
      <c r="DAO23" s="12"/>
      <c r="DAP23" s="12"/>
      <c r="DAQ23" s="12"/>
      <c r="DAR23" s="12"/>
      <c r="DAS23" s="12"/>
      <c r="DAT23" s="12"/>
      <c r="DAU23" s="12"/>
      <c r="DAV23" s="12"/>
      <c r="DAW23" s="12"/>
      <c r="DAX23" s="12"/>
      <c r="DAY23" s="12"/>
      <c r="DAZ23" s="12"/>
      <c r="DBA23" s="12"/>
      <c r="DBB23" s="12"/>
      <c r="DBC23" s="12"/>
      <c r="DBD23" s="12"/>
      <c r="DBE23" s="12"/>
      <c r="DBF23" s="12"/>
      <c r="DBG23" s="12"/>
      <c r="DBH23" s="12"/>
      <c r="DBI23" s="12"/>
      <c r="DBJ23" s="12"/>
      <c r="DBK23" s="12"/>
      <c r="DBL23" s="12"/>
      <c r="DBM23" s="12"/>
      <c r="DBN23" s="12"/>
      <c r="DBO23" s="12"/>
      <c r="DBP23" s="12"/>
      <c r="DBQ23" s="12"/>
      <c r="DBR23" s="12"/>
      <c r="DBS23" s="12"/>
      <c r="DBT23" s="12"/>
      <c r="DBU23" s="12"/>
      <c r="DBV23" s="12"/>
      <c r="DBW23" s="12"/>
      <c r="DBX23" s="12"/>
      <c r="DBY23" s="12"/>
      <c r="DBZ23" s="12"/>
      <c r="DCA23" s="12"/>
      <c r="DCB23" s="12"/>
      <c r="DCC23" s="12"/>
      <c r="DCD23" s="12"/>
      <c r="DCE23" s="12"/>
      <c r="DCF23" s="12"/>
      <c r="DCG23" s="12"/>
      <c r="DCH23" s="12"/>
      <c r="DCI23" s="12"/>
      <c r="DCJ23" s="12"/>
      <c r="DCK23" s="12"/>
      <c r="DCL23" s="12"/>
      <c r="DCM23" s="12"/>
      <c r="DCN23" s="12"/>
      <c r="DCO23" s="12"/>
      <c r="DCP23" s="12"/>
      <c r="DCQ23" s="12"/>
      <c r="DCR23" s="12"/>
      <c r="DCS23" s="12"/>
      <c r="DCT23" s="12"/>
      <c r="DCU23" s="12"/>
      <c r="DCV23" s="12"/>
      <c r="DCW23" s="12"/>
      <c r="DCX23" s="12"/>
      <c r="DCY23" s="12"/>
      <c r="DCZ23" s="12"/>
      <c r="DDA23" s="12"/>
      <c r="DDB23" s="12"/>
      <c r="DDC23" s="12"/>
      <c r="DDD23" s="12"/>
      <c r="DDE23" s="12"/>
      <c r="DDF23" s="12"/>
      <c r="DDG23" s="12"/>
      <c r="DDH23" s="12"/>
      <c r="DDI23" s="12"/>
      <c r="DDJ23" s="12"/>
      <c r="DDK23" s="12"/>
      <c r="DDL23" s="12"/>
      <c r="DDM23" s="12"/>
      <c r="DDN23" s="12"/>
      <c r="DDO23" s="12"/>
      <c r="DDP23" s="12"/>
      <c r="DDQ23" s="12"/>
      <c r="DDR23" s="12"/>
      <c r="DDS23" s="12"/>
      <c r="DDT23" s="12"/>
      <c r="DDU23" s="12"/>
      <c r="DDV23" s="12"/>
      <c r="DDW23" s="12"/>
      <c r="DDX23" s="12"/>
      <c r="DDY23" s="12"/>
      <c r="DDZ23" s="12"/>
      <c r="DEA23" s="12"/>
      <c r="DEB23" s="12"/>
      <c r="DEC23" s="12"/>
      <c r="DED23" s="12"/>
      <c r="DEE23" s="12"/>
      <c r="DEF23" s="12"/>
      <c r="DEG23" s="12"/>
      <c r="DEH23" s="12"/>
      <c r="DEI23" s="12"/>
      <c r="DEJ23" s="12"/>
      <c r="DEK23" s="12"/>
      <c r="DEL23" s="12"/>
      <c r="DEM23" s="12"/>
      <c r="DEN23" s="12"/>
      <c r="DEO23" s="12"/>
      <c r="DEP23" s="12"/>
      <c r="DEQ23" s="12"/>
      <c r="DER23" s="12"/>
      <c r="DES23" s="12"/>
      <c r="DET23" s="12"/>
      <c r="DEU23" s="12"/>
      <c r="DEV23" s="12"/>
      <c r="DEW23" s="12"/>
      <c r="DEX23" s="12"/>
      <c r="DEY23" s="12"/>
      <c r="DEZ23" s="12"/>
      <c r="DFA23" s="12"/>
      <c r="DFB23" s="12"/>
      <c r="DFC23" s="12"/>
      <c r="DFD23" s="12"/>
      <c r="DFE23" s="12"/>
      <c r="DFF23" s="12"/>
      <c r="DFG23" s="12"/>
      <c r="DFH23" s="12"/>
      <c r="DFI23" s="12"/>
      <c r="DFJ23" s="12"/>
      <c r="DFK23" s="12"/>
      <c r="DFL23" s="12"/>
      <c r="DFM23" s="12"/>
      <c r="DFN23" s="12"/>
      <c r="DFO23" s="12"/>
      <c r="DFP23" s="12"/>
      <c r="DFQ23" s="12"/>
      <c r="DFR23" s="12"/>
      <c r="DFS23" s="12"/>
      <c r="DFT23" s="12"/>
      <c r="DFU23" s="12"/>
      <c r="DFV23" s="12"/>
      <c r="DFW23" s="12"/>
      <c r="DFX23" s="12"/>
      <c r="DFY23" s="12"/>
      <c r="DFZ23" s="12"/>
      <c r="DGA23" s="12"/>
      <c r="DGB23" s="12"/>
      <c r="DGC23" s="12"/>
      <c r="DGD23" s="12"/>
      <c r="DGE23" s="12"/>
      <c r="DGF23" s="12"/>
      <c r="DGG23" s="12"/>
      <c r="DGH23" s="12"/>
      <c r="DGI23" s="12"/>
      <c r="DGJ23" s="12"/>
      <c r="DGK23" s="12"/>
      <c r="DGL23" s="12"/>
      <c r="DGM23" s="12"/>
      <c r="DGN23" s="12"/>
      <c r="DGO23" s="12"/>
      <c r="DGP23" s="12"/>
      <c r="DGQ23" s="12"/>
      <c r="DGR23" s="12"/>
      <c r="DGS23" s="12"/>
      <c r="DGT23" s="12"/>
      <c r="DGU23" s="12"/>
      <c r="DGV23" s="12"/>
      <c r="DGW23" s="12"/>
      <c r="DGX23" s="12"/>
      <c r="DGY23" s="12"/>
      <c r="DGZ23" s="12"/>
      <c r="DHA23" s="12"/>
      <c r="DHB23" s="12"/>
      <c r="DHC23" s="12"/>
      <c r="DHD23" s="12"/>
      <c r="DHE23" s="12"/>
      <c r="DHF23" s="12"/>
      <c r="DHG23" s="12"/>
      <c r="DHH23" s="12"/>
      <c r="DHI23" s="12"/>
      <c r="DHJ23" s="12"/>
      <c r="DHK23" s="12"/>
      <c r="DHL23" s="12"/>
      <c r="DHM23" s="12"/>
      <c r="DHN23" s="12"/>
      <c r="DHO23" s="12"/>
      <c r="DHP23" s="12"/>
      <c r="DHQ23" s="12"/>
      <c r="DHR23" s="12"/>
      <c r="DHS23" s="12"/>
      <c r="DHT23" s="12"/>
      <c r="DHU23" s="12"/>
      <c r="DHV23" s="12"/>
      <c r="DHW23" s="12"/>
      <c r="DHX23" s="12"/>
      <c r="DHY23" s="12"/>
      <c r="DHZ23" s="12"/>
      <c r="DIA23" s="12"/>
      <c r="DIB23" s="12"/>
      <c r="DIC23" s="12"/>
      <c r="DID23" s="12"/>
      <c r="DIE23" s="12"/>
      <c r="DIF23" s="12"/>
      <c r="DIG23" s="12"/>
      <c r="DIH23" s="12"/>
      <c r="DII23" s="12"/>
      <c r="DIJ23" s="12"/>
      <c r="DIK23" s="12"/>
      <c r="DIL23" s="12"/>
      <c r="DIM23" s="12"/>
      <c r="DIN23" s="12"/>
      <c r="DIO23" s="12"/>
      <c r="DIP23" s="12"/>
      <c r="DIQ23" s="12"/>
      <c r="DIR23" s="12"/>
      <c r="DIS23" s="12"/>
      <c r="DIT23" s="12"/>
      <c r="DIU23" s="12"/>
      <c r="DIV23" s="12"/>
      <c r="DIW23" s="12"/>
      <c r="DIX23" s="12"/>
      <c r="DIY23" s="12"/>
      <c r="DIZ23" s="12"/>
      <c r="DJA23" s="12"/>
      <c r="DJB23" s="12"/>
      <c r="DJC23" s="12"/>
      <c r="DJD23" s="12"/>
      <c r="DJE23" s="12"/>
      <c r="DJF23" s="12"/>
      <c r="DJG23" s="12"/>
      <c r="DJH23" s="12"/>
      <c r="DJI23" s="12"/>
      <c r="DJJ23" s="12"/>
      <c r="DJK23" s="12"/>
      <c r="DJL23" s="12"/>
      <c r="DJM23" s="12"/>
      <c r="DJN23" s="12"/>
      <c r="DJO23" s="12"/>
      <c r="DJP23" s="12"/>
      <c r="DJQ23" s="12"/>
      <c r="DJR23" s="12"/>
      <c r="DJS23" s="12"/>
      <c r="DJT23" s="12"/>
      <c r="DJU23" s="12"/>
      <c r="DJV23" s="12"/>
      <c r="DJW23" s="12"/>
      <c r="DJX23" s="12"/>
      <c r="DJY23" s="12"/>
      <c r="DJZ23" s="12"/>
      <c r="DKA23" s="12"/>
      <c r="DKB23" s="12"/>
      <c r="DKC23" s="12"/>
      <c r="DKD23" s="12"/>
      <c r="DKE23" s="12"/>
      <c r="DKF23" s="12"/>
      <c r="DKG23" s="12"/>
      <c r="DKH23" s="12"/>
      <c r="DKI23" s="12"/>
      <c r="DKJ23" s="12"/>
      <c r="DKK23" s="12"/>
      <c r="DKL23" s="12"/>
      <c r="DKM23" s="12"/>
      <c r="DKN23" s="12"/>
      <c r="DKO23" s="12"/>
      <c r="DKP23" s="12"/>
      <c r="DKQ23" s="12"/>
      <c r="DKR23" s="12"/>
      <c r="DKS23" s="12"/>
      <c r="DKT23" s="12"/>
      <c r="DKU23" s="12"/>
      <c r="DKV23" s="12"/>
      <c r="DKW23" s="12"/>
      <c r="DKX23" s="12"/>
      <c r="DKY23" s="12"/>
      <c r="DKZ23" s="12"/>
      <c r="DLA23" s="12"/>
      <c r="DLB23" s="12"/>
      <c r="DLC23" s="12"/>
      <c r="DLD23" s="12"/>
      <c r="DLE23" s="12"/>
      <c r="DLF23" s="12"/>
      <c r="DLG23" s="12"/>
      <c r="DLH23" s="12"/>
      <c r="DLI23" s="12"/>
      <c r="DLJ23" s="12"/>
      <c r="DLK23" s="12"/>
      <c r="DLL23" s="12"/>
      <c r="DLM23" s="12"/>
      <c r="DLN23" s="12"/>
      <c r="DLO23" s="12"/>
      <c r="DLP23" s="12"/>
      <c r="DLQ23" s="12"/>
      <c r="DLR23" s="12"/>
      <c r="DLS23" s="12"/>
      <c r="DLT23" s="12"/>
      <c r="DLU23" s="12"/>
      <c r="DLV23" s="12"/>
      <c r="DLW23" s="12"/>
      <c r="DLX23" s="12"/>
      <c r="DLY23" s="12"/>
      <c r="DLZ23" s="12"/>
      <c r="DMA23" s="12"/>
      <c r="DMB23" s="12"/>
      <c r="DMC23" s="12"/>
      <c r="DMD23" s="12"/>
      <c r="DME23" s="12"/>
      <c r="DMF23" s="12"/>
      <c r="DMG23" s="12"/>
      <c r="DMH23" s="12"/>
      <c r="DMI23" s="12"/>
      <c r="DMJ23" s="12"/>
      <c r="DMK23" s="12"/>
      <c r="DML23" s="12"/>
      <c r="DMM23" s="12"/>
      <c r="DMN23" s="12"/>
      <c r="DMO23" s="12"/>
      <c r="DMP23" s="12"/>
      <c r="DMQ23" s="12"/>
      <c r="DMR23" s="12"/>
      <c r="DMS23" s="12"/>
      <c r="DMT23" s="12"/>
      <c r="DMU23" s="12"/>
      <c r="DMV23" s="12"/>
      <c r="DMW23" s="12"/>
      <c r="DMX23" s="12"/>
      <c r="DMY23" s="12"/>
      <c r="DMZ23" s="12"/>
      <c r="DNA23" s="12"/>
      <c r="DNB23" s="12"/>
      <c r="DNC23" s="12"/>
      <c r="DND23" s="12"/>
      <c r="DNE23" s="12"/>
      <c r="DNF23" s="12"/>
      <c r="DNG23" s="12"/>
      <c r="DNH23" s="12"/>
      <c r="DNI23" s="12"/>
      <c r="DNJ23" s="12"/>
      <c r="DNK23" s="12"/>
      <c r="DNL23" s="12"/>
      <c r="DNM23" s="12"/>
      <c r="DNN23" s="12"/>
      <c r="DNO23" s="12"/>
      <c r="DNP23" s="12"/>
      <c r="DNQ23" s="12"/>
      <c r="DNR23" s="12"/>
      <c r="DNS23" s="12"/>
      <c r="DNT23" s="12"/>
      <c r="DNU23" s="12"/>
      <c r="DNV23" s="12"/>
      <c r="DNW23" s="12"/>
      <c r="DNX23" s="12"/>
      <c r="DNY23" s="12"/>
      <c r="DNZ23" s="12"/>
      <c r="DOA23" s="12"/>
      <c r="DOB23" s="12"/>
      <c r="DOC23" s="12"/>
      <c r="DOD23" s="12"/>
      <c r="DOE23" s="12"/>
      <c r="DOF23" s="12"/>
      <c r="DOG23" s="12"/>
      <c r="DOH23" s="12"/>
      <c r="DOI23" s="12"/>
      <c r="DOJ23" s="12"/>
      <c r="DOK23" s="12"/>
      <c r="DOL23" s="12"/>
      <c r="DOM23" s="12"/>
      <c r="DON23" s="12"/>
      <c r="DOO23" s="12"/>
      <c r="DOP23" s="12"/>
      <c r="DOQ23" s="12"/>
      <c r="DOR23" s="12"/>
      <c r="DOS23" s="12"/>
      <c r="DOT23" s="12"/>
      <c r="DOU23" s="12"/>
      <c r="DOV23" s="12"/>
      <c r="DOW23" s="12"/>
      <c r="DOX23" s="12"/>
      <c r="DOY23" s="12"/>
      <c r="DOZ23" s="12"/>
      <c r="DPA23" s="12"/>
      <c r="DPB23" s="12"/>
      <c r="DPC23" s="12"/>
      <c r="DPD23" s="12"/>
      <c r="DPE23" s="12"/>
      <c r="DPF23" s="12"/>
      <c r="DPG23" s="12"/>
      <c r="DPH23" s="12"/>
      <c r="DPI23" s="12"/>
      <c r="DPJ23" s="12"/>
      <c r="DPK23" s="12"/>
      <c r="DPL23" s="12"/>
      <c r="DPM23" s="12"/>
      <c r="DPN23" s="12"/>
      <c r="DPO23" s="12"/>
      <c r="DPP23" s="12"/>
      <c r="DPQ23" s="12"/>
      <c r="DPR23" s="12"/>
      <c r="DPS23" s="12"/>
      <c r="DPT23" s="12"/>
      <c r="DPU23" s="12"/>
      <c r="DPV23" s="12"/>
      <c r="DPW23" s="12"/>
      <c r="DPX23" s="12"/>
      <c r="DPY23" s="12"/>
      <c r="DPZ23" s="12"/>
      <c r="DQA23" s="12"/>
      <c r="DQB23" s="12"/>
      <c r="DQC23" s="12"/>
      <c r="DQD23" s="12"/>
      <c r="DQE23" s="12"/>
      <c r="DQF23" s="12"/>
      <c r="DQG23" s="12"/>
      <c r="DQH23" s="12"/>
      <c r="DQI23" s="12"/>
      <c r="DQJ23" s="12"/>
      <c r="DQK23" s="12"/>
      <c r="DQL23" s="12"/>
      <c r="DQM23" s="12"/>
      <c r="DQN23" s="12"/>
      <c r="DQO23" s="12"/>
      <c r="DQP23" s="12"/>
      <c r="DQQ23" s="12"/>
      <c r="DQR23" s="12"/>
      <c r="DQS23" s="12"/>
      <c r="DQT23" s="12"/>
      <c r="DQU23" s="12"/>
      <c r="DQV23" s="12"/>
      <c r="DQW23" s="12"/>
      <c r="DQX23" s="12"/>
      <c r="DQY23" s="12"/>
      <c r="DQZ23" s="12"/>
      <c r="DRA23" s="12"/>
      <c r="DRB23" s="12"/>
      <c r="DRC23" s="12"/>
      <c r="DRD23" s="12"/>
      <c r="DRE23" s="12"/>
      <c r="DRF23" s="12"/>
      <c r="DRG23" s="12"/>
      <c r="DRH23" s="12"/>
      <c r="DRI23" s="12"/>
      <c r="DRJ23" s="12"/>
      <c r="DRK23" s="12"/>
      <c r="DRL23" s="12"/>
      <c r="DRM23" s="12"/>
      <c r="DRN23" s="12"/>
      <c r="DRO23" s="12"/>
      <c r="DRP23" s="12"/>
      <c r="DRQ23" s="12"/>
      <c r="DRR23" s="12"/>
      <c r="DRS23" s="12"/>
      <c r="DRT23" s="12"/>
      <c r="DRU23" s="12"/>
      <c r="DRV23" s="12"/>
      <c r="DRW23" s="12"/>
      <c r="DRX23" s="12"/>
      <c r="DRY23" s="12"/>
      <c r="DRZ23" s="12"/>
      <c r="DSA23" s="12"/>
      <c r="DSB23" s="12"/>
      <c r="DSC23" s="12"/>
      <c r="DSD23" s="12"/>
      <c r="DSE23" s="12"/>
      <c r="DSF23" s="12"/>
      <c r="DSG23" s="12"/>
      <c r="DSH23" s="12"/>
      <c r="DSI23" s="12"/>
      <c r="DSJ23" s="12"/>
      <c r="DSK23" s="12"/>
      <c r="DSL23" s="12"/>
      <c r="DSM23" s="12"/>
      <c r="DSN23" s="12"/>
      <c r="DSO23" s="12"/>
      <c r="DSP23" s="12"/>
      <c r="DSQ23" s="12"/>
      <c r="DSR23" s="12"/>
      <c r="DSS23" s="12"/>
      <c r="DST23" s="12"/>
      <c r="DSU23" s="12"/>
      <c r="DSV23" s="12"/>
      <c r="DSW23" s="12"/>
      <c r="DSX23" s="12"/>
      <c r="DSY23" s="12"/>
      <c r="DSZ23" s="12"/>
      <c r="DTA23" s="12"/>
      <c r="DTB23" s="12"/>
      <c r="DTC23" s="12"/>
      <c r="DTD23" s="12"/>
      <c r="DTE23" s="12"/>
      <c r="DTF23" s="12"/>
      <c r="DTG23" s="12"/>
      <c r="DTH23" s="12"/>
      <c r="DTI23" s="12"/>
      <c r="DTJ23" s="12"/>
      <c r="DTK23" s="12"/>
      <c r="DTL23" s="12"/>
      <c r="DTM23" s="12"/>
      <c r="DTN23" s="12"/>
      <c r="DTO23" s="12"/>
      <c r="DTP23" s="12"/>
      <c r="DTQ23" s="12"/>
      <c r="DTR23" s="12"/>
      <c r="DTS23" s="12"/>
      <c r="DTT23" s="12"/>
      <c r="DTU23" s="12"/>
      <c r="DTV23" s="12"/>
      <c r="DTW23" s="12"/>
      <c r="DTX23" s="12"/>
      <c r="DTY23" s="12"/>
      <c r="DTZ23" s="12"/>
      <c r="DUA23" s="12"/>
      <c r="DUB23" s="12"/>
      <c r="DUC23" s="12"/>
      <c r="DUD23" s="12"/>
      <c r="DUE23" s="12"/>
      <c r="DUF23" s="12"/>
      <c r="DUG23" s="12"/>
      <c r="DUH23" s="12"/>
      <c r="DUI23" s="12"/>
      <c r="DUJ23" s="12"/>
      <c r="DUK23" s="12"/>
      <c r="DUL23" s="12"/>
      <c r="DUM23" s="12"/>
      <c r="DUN23" s="12"/>
      <c r="DUO23" s="12"/>
      <c r="DUP23" s="12"/>
      <c r="DUQ23" s="12"/>
      <c r="DUR23" s="12"/>
      <c r="DUS23" s="12"/>
      <c r="DUT23" s="12"/>
      <c r="DUU23" s="12"/>
      <c r="DUV23" s="12"/>
      <c r="DUW23" s="12"/>
      <c r="DUX23" s="12"/>
      <c r="DUY23" s="12"/>
      <c r="DUZ23" s="12"/>
      <c r="DVA23" s="12"/>
      <c r="DVB23" s="12"/>
      <c r="DVC23" s="12"/>
      <c r="DVD23" s="12"/>
      <c r="DVE23" s="12"/>
      <c r="DVF23" s="12"/>
      <c r="DVG23" s="12"/>
      <c r="DVH23" s="12"/>
      <c r="DVI23" s="12"/>
      <c r="DVJ23" s="12"/>
      <c r="DVK23" s="12"/>
      <c r="DVL23" s="12"/>
      <c r="DVM23" s="12"/>
      <c r="DVN23" s="12"/>
      <c r="DVO23" s="12"/>
      <c r="DVP23" s="12"/>
      <c r="DVQ23" s="12"/>
      <c r="DVR23" s="12"/>
      <c r="DVS23" s="12"/>
      <c r="DVT23" s="12"/>
      <c r="DVU23" s="12"/>
      <c r="DVV23" s="12"/>
      <c r="DVW23" s="12"/>
      <c r="DVX23" s="12"/>
      <c r="DVY23" s="12"/>
      <c r="DVZ23" s="12"/>
      <c r="DWA23" s="12"/>
      <c r="DWB23" s="12"/>
      <c r="DWC23" s="12"/>
      <c r="DWD23" s="12"/>
      <c r="DWE23" s="12"/>
      <c r="DWF23" s="12"/>
      <c r="DWG23" s="12"/>
      <c r="DWH23" s="12"/>
      <c r="DWI23" s="12"/>
      <c r="DWJ23" s="12"/>
      <c r="DWK23" s="12"/>
      <c r="DWL23" s="12"/>
      <c r="DWM23" s="12"/>
      <c r="DWN23" s="12"/>
      <c r="DWO23" s="12"/>
      <c r="DWP23" s="12"/>
      <c r="DWQ23" s="12"/>
      <c r="DWR23" s="12"/>
      <c r="DWS23" s="12"/>
      <c r="DWT23" s="12"/>
      <c r="DWU23" s="12"/>
      <c r="DWV23" s="12"/>
      <c r="DWW23" s="12"/>
      <c r="DWX23" s="12"/>
      <c r="DWY23" s="12"/>
      <c r="DWZ23" s="12"/>
      <c r="DXA23" s="12"/>
      <c r="DXB23" s="12"/>
      <c r="DXC23" s="12"/>
      <c r="DXD23" s="12"/>
      <c r="DXE23" s="12"/>
      <c r="DXF23" s="12"/>
      <c r="DXG23" s="12"/>
      <c r="DXH23" s="12"/>
      <c r="DXI23" s="12"/>
      <c r="DXJ23" s="12"/>
      <c r="DXK23" s="12"/>
      <c r="DXL23" s="12"/>
      <c r="DXM23" s="12"/>
      <c r="DXN23" s="12"/>
      <c r="DXO23" s="12"/>
      <c r="DXP23" s="12"/>
      <c r="DXQ23" s="12"/>
      <c r="DXR23" s="12"/>
      <c r="DXS23" s="12"/>
      <c r="DXT23" s="12"/>
      <c r="DXU23" s="12"/>
      <c r="DXV23" s="12"/>
      <c r="DXW23" s="12"/>
      <c r="DXX23" s="12"/>
      <c r="DXY23" s="12"/>
      <c r="DXZ23" s="12"/>
      <c r="DYA23" s="12"/>
      <c r="DYB23" s="12"/>
      <c r="DYC23" s="12"/>
      <c r="DYD23" s="12"/>
      <c r="DYE23" s="12"/>
      <c r="DYF23" s="12"/>
      <c r="DYG23" s="12"/>
      <c r="DYH23" s="12"/>
      <c r="DYI23" s="12"/>
      <c r="DYJ23" s="12"/>
      <c r="DYK23" s="12"/>
      <c r="DYL23" s="12"/>
      <c r="DYM23" s="12"/>
      <c r="DYN23" s="12"/>
      <c r="DYO23" s="12"/>
      <c r="DYP23" s="12"/>
      <c r="DYQ23" s="12"/>
      <c r="DYR23" s="12"/>
      <c r="DYS23" s="12"/>
      <c r="DYT23" s="12"/>
      <c r="DYU23" s="12"/>
      <c r="DYV23" s="12"/>
      <c r="DYW23" s="12"/>
      <c r="DYX23" s="12"/>
      <c r="DYY23" s="12"/>
      <c r="DYZ23" s="12"/>
      <c r="DZA23" s="12"/>
      <c r="DZB23" s="12"/>
      <c r="DZC23" s="12"/>
      <c r="DZD23" s="12"/>
      <c r="DZE23" s="12"/>
      <c r="DZF23" s="12"/>
      <c r="DZG23" s="12"/>
      <c r="DZH23" s="12"/>
      <c r="DZI23" s="12"/>
      <c r="DZJ23" s="12"/>
      <c r="DZK23" s="12"/>
      <c r="DZL23" s="12"/>
      <c r="DZM23" s="12"/>
      <c r="DZN23" s="12"/>
      <c r="DZO23" s="12"/>
      <c r="DZP23" s="12"/>
      <c r="DZQ23" s="12"/>
      <c r="DZR23" s="12"/>
      <c r="DZS23" s="12"/>
      <c r="DZT23" s="12"/>
      <c r="DZU23" s="12"/>
      <c r="DZV23" s="12"/>
      <c r="DZW23" s="12"/>
      <c r="DZX23" s="12"/>
      <c r="DZY23" s="12"/>
      <c r="DZZ23" s="12"/>
      <c r="EAA23" s="12"/>
      <c r="EAB23" s="12"/>
      <c r="EAC23" s="12"/>
      <c r="EAD23" s="12"/>
      <c r="EAE23" s="12"/>
      <c r="EAF23" s="12"/>
      <c r="EAG23" s="12"/>
      <c r="EAH23" s="12"/>
      <c r="EAI23" s="12"/>
      <c r="EAJ23" s="12"/>
      <c r="EAK23" s="12"/>
      <c r="EAL23" s="12"/>
      <c r="EAM23" s="12"/>
      <c r="EAN23" s="12"/>
      <c r="EAO23" s="12"/>
      <c r="EAP23" s="12"/>
      <c r="EAQ23" s="12"/>
      <c r="EAR23" s="12"/>
      <c r="EAS23" s="12"/>
      <c r="EAT23" s="12"/>
      <c r="EAU23" s="12"/>
      <c r="EAV23" s="12"/>
      <c r="EAW23" s="12"/>
      <c r="EAX23" s="12"/>
      <c r="EAY23" s="12"/>
      <c r="EAZ23" s="12"/>
      <c r="EBA23" s="12"/>
      <c r="EBB23" s="12"/>
      <c r="EBC23" s="12"/>
      <c r="EBD23" s="12"/>
      <c r="EBE23" s="12"/>
      <c r="EBF23" s="12"/>
      <c r="EBG23" s="12"/>
      <c r="EBH23" s="12"/>
      <c r="EBI23" s="12"/>
      <c r="EBJ23" s="12"/>
      <c r="EBK23" s="12"/>
      <c r="EBL23" s="12"/>
      <c r="EBM23" s="12"/>
      <c r="EBN23" s="12"/>
      <c r="EBO23" s="12"/>
      <c r="EBP23" s="12"/>
      <c r="EBQ23" s="12"/>
      <c r="EBR23" s="12"/>
      <c r="EBS23" s="12"/>
      <c r="EBT23" s="12"/>
      <c r="EBU23" s="12"/>
      <c r="EBV23" s="12"/>
      <c r="EBW23" s="12"/>
      <c r="EBX23" s="12"/>
      <c r="EBY23" s="12"/>
      <c r="EBZ23" s="12"/>
      <c r="ECA23" s="12"/>
      <c r="ECB23" s="12"/>
      <c r="ECC23" s="12"/>
      <c r="ECD23" s="12"/>
      <c r="ECE23" s="12"/>
      <c r="ECF23" s="12"/>
      <c r="ECG23" s="12"/>
      <c r="ECH23" s="12"/>
      <c r="ECI23" s="12"/>
      <c r="ECJ23" s="12"/>
      <c r="ECK23" s="12"/>
      <c r="ECL23" s="12"/>
      <c r="ECM23" s="12"/>
      <c r="ECN23" s="12"/>
      <c r="ECO23" s="12"/>
      <c r="ECP23" s="12"/>
      <c r="ECQ23" s="12"/>
      <c r="ECR23" s="12"/>
      <c r="ECS23" s="12"/>
      <c r="ECT23" s="12"/>
      <c r="ECU23" s="12"/>
      <c r="ECV23" s="12"/>
      <c r="ECW23" s="12"/>
      <c r="ECX23" s="12"/>
      <c r="ECY23" s="12"/>
      <c r="ECZ23" s="12"/>
      <c r="EDA23" s="12"/>
      <c r="EDB23" s="12"/>
      <c r="EDC23" s="12"/>
      <c r="EDD23" s="12"/>
      <c r="EDE23" s="12"/>
      <c r="EDF23" s="12"/>
      <c r="EDG23" s="12"/>
      <c r="EDH23" s="12"/>
      <c r="EDI23" s="12"/>
      <c r="EDJ23" s="12"/>
      <c r="EDK23" s="12"/>
      <c r="EDL23" s="12"/>
      <c r="EDM23" s="12"/>
      <c r="EDN23" s="12"/>
      <c r="EDO23" s="12"/>
      <c r="EDP23" s="12"/>
      <c r="EDQ23" s="12"/>
      <c r="EDR23" s="12"/>
      <c r="EDS23" s="12"/>
      <c r="EDT23" s="12"/>
      <c r="EDU23" s="12"/>
      <c r="EDV23" s="12"/>
      <c r="EDW23" s="12"/>
      <c r="EDX23" s="12"/>
      <c r="EDY23" s="12"/>
      <c r="EDZ23" s="12"/>
      <c r="EEA23" s="12"/>
      <c r="EEB23" s="12"/>
      <c r="EEC23" s="12"/>
      <c r="EED23" s="12"/>
      <c r="EEE23" s="12"/>
      <c r="EEF23" s="12"/>
      <c r="EEG23" s="12"/>
      <c r="EEH23" s="12"/>
      <c r="EEI23" s="12"/>
      <c r="EEJ23" s="12"/>
      <c r="EEK23" s="12"/>
      <c r="EEL23" s="12"/>
      <c r="EEM23" s="12"/>
      <c r="EEN23" s="12"/>
      <c r="EEO23" s="12"/>
      <c r="EEP23" s="12"/>
      <c r="EEQ23" s="12"/>
      <c r="EER23" s="12"/>
      <c r="EES23" s="12"/>
      <c r="EET23" s="12"/>
      <c r="EEU23" s="12"/>
      <c r="EEV23" s="12"/>
      <c r="EEW23" s="12"/>
      <c r="EEX23" s="12"/>
      <c r="EEY23" s="12"/>
      <c r="EEZ23" s="12"/>
      <c r="EFA23" s="12"/>
      <c r="EFB23" s="12"/>
      <c r="EFC23" s="12"/>
      <c r="EFD23" s="12"/>
      <c r="EFE23" s="12"/>
      <c r="EFF23" s="12"/>
      <c r="EFG23" s="12"/>
      <c r="EFH23" s="12"/>
      <c r="EFI23" s="12"/>
      <c r="EFJ23" s="12"/>
      <c r="EFK23" s="12"/>
      <c r="EFL23" s="12"/>
      <c r="EFM23" s="12"/>
      <c r="EFN23" s="12"/>
      <c r="EFO23" s="12"/>
      <c r="EFP23" s="12"/>
      <c r="EFQ23" s="12"/>
      <c r="EFR23" s="12"/>
      <c r="EFS23" s="12"/>
      <c r="EFT23" s="12"/>
      <c r="EFU23" s="12"/>
      <c r="EFV23" s="12"/>
      <c r="EFW23" s="12"/>
      <c r="EFX23" s="12"/>
      <c r="EFY23" s="12"/>
      <c r="EFZ23" s="12"/>
      <c r="EGA23" s="12"/>
      <c r="EGB23" s="12"/>
      <c r="EGC23" s="12"/>
      <c r="EGD23" s="12"/>
      <c r="EGE23" s="12"/>
      <c r="EGF23" s="12"/>
      <c r="EGG23" s="12"/>
      <c r="EGH23" s="12"/>
      <c r="EGI23" s="12"/>
      <c r="EGJ23" s="12"/>
      <c r="EGK23" s="12"/>
      <c r="EGL23" s="12"/>
      <c r="EGM23" s="12"/>
      <c r="EGN23" s="12"/>
      <c r="EGO23" s="12"/>
      <c r="EGP23" s="12"/>
      <c r="EGQ23" s="12"/>
      <c r="EGR23" s="12"/>
      <c r="EGS23" s="12"/>
      <c r="EGT23" s="12"/>
      <c r="EGU23" s="12"/>
      <c r="EGV23" s="12"/>
      <c r="EGW23" s="12"/>
      <c r="EGX23" s="12"/>
      <c r="EGY23" s="12"/>
      <c r="EGZ23" s="12"/>
      <c r="EHA23" s="12"/>
      <c r="EHB23" s="12"/>
      <c r="EHC23" s="12"/>
      <c r="EHD23" s="12"/>
      <c r="EHE23" s="12"/>
      <c r="EHF23" s="12"/>
      <c r="EHG23" s="12"/>
      <c r="EHH23" s="12"/>
      <c r="EHI23" s="12"/>
      <c r="EHJ23" s="12"/>
      <c r="EHK23" s="12"/>
      <c r="EHL23" s="12"/>
      <c r="EHM23" s="12"/>
      <c r="EHN23" s="12"/>
      <c r="EHO23" s="12"/>
      <c r="EHP23" s="12"/>
      <c r="EHQ23" s="12"/>
      <c r="EHR23" s="12"/>
      <c r="EHS23" s="12"/>
      <c r="EHT23" s="12"/>
      <c r="EHU23" s="12"/>
      <c r="EHV23" s="12"/>
      <c r="EHW23" s="12"/>
      <c r="EHX23" s="12"/>
      <c r="EHY23" s="12"/>
      <c r="EHZ23" s="12"/>
      <c r="EIA23" s="12"/>
      <c r="EIB23" s="12"/>
      <c r="EIC23" s="12"/>
      <c r="EID23" s="12"/>
      <c r="EIE23" s="12"/>
      <c r="EIF23" s="12"/>
      <c r="EIG23" s="12"/>
      <c r="EIH23" s="12"/>
      <c r="EII23" s="12"/>
      <c r="EIJ23" s="12"/>
      <c r="EIK23" s="12"/>
      <c r="EIL23" s="12"/>
      <c r="EIM23" s="12"/>
      <c r="EIN23" s="12"/>
      <c r="EIO23" s="12"/>
      <c r="EIP23" s="12"/>
      <c r="EIQ23" s="12"/>
      <c r="EIR23" s="12"/>
      <c r="EIS23" s="12"/>
      <c r="EIT23" s="12"/>
      <c r="EIU23" s="12"/>
      <c r="EIV23" s="12"/>
      <c r="EIW23" s="12"/>
      <c r="EIX23" s="12"/>
      <c r="EIY23" s="12"/>
      <c r="EIZ23" s="12"/>
      <c r="EJA23" s="12"/>
      <c r="EJB23" s="12"/>
      <c r="EJC23" s="12"/>
      <c r="EJD23" s="12"/>
      <c r="EJE23" s="12"/>
      <c r="EJF23" s="12"/>
      <c r="EJG23" s="12"/>
      <c r="EJH23" s="12"/>
      <c r="EJI23" s="12"/>
      <c r="EJJ23" s="12"/>
      <c r="EJK23" s="12"/>
      <c r="EJL23" s="12"/>
      <c r="EJM23" s="12"/>
      <c r="EJN23" s="12"/>
      <c r="EJO23" s="12"/>
      <c r="EJP23" s="12"/>
      <c r="EJQ23" s="12"/>
      <c r="EJR23" s="12"/>
      <c r="EJS23" s="12"/>
      <c r="EJT23" s="12"/>
      <c r="EJU23" s="12"/>
      <c r="EJV23" s="12"/>
      <c r="EJW23" s="12"/>
      <c r="EJX23" s="12"/>
      <c r="EJY23" s="12"/>
      <c r="EJZ23" s="12"/>
      <c r="EKA23" s="12"/>
      <c r="EKB23" s="12"/>
      <c r="EKC23" s="12"/>
      <c r="EKD23" s="12"/>
      <c r="EKE23" s="12"/>
      <c r="EKF23" s="12"/>
      <c r="EKG23" s="12"/>
      <c r="EKH23" s="12"/>
      <c r="EKI23" s="12"/>
      <c r="EKJ23" s="12"/>
      <c r="EKK23" s="12"/>
      <c r="EKL23" s="12"/>
      <c r="EKM23" s="12"/>
      <c r="EKN23" s="12"/>
      <c r="EKO23" s="12"/>
      <c r="EKP23" s="12"/>
      <c r="EKQ23" s="12"/>
      <c r="EKR23" s="12"/>
      <c r="EKS23" s="12"/>
      <c r="EKT23" s="12"/>
      <c r="EKU23" s="12"/>
      <c r="EKV23" s="12"/>
      <c r="EKW23" s="12"/>
      <c r="EKX23" s="12"/>
      <c r="EKY23" s="12"/>
      <c r="EKZ23" s="12"/>
      <c r="ELA23" s="12"/>
      <c r="ELB23" s="12"/>
      <c r="ELC23" s="12"/>
      <c r="ELD23" s="12"/>
      <c r="ELE23" s="12"/>
      <c r="ELF23" s="12"/>
      <c r="ELG23" s="12"/>
      <c r="ELH23" s="12"/>
      <c r="ELI23" s="12"/>
      <c r="ELJ23" s="12"/>
      <c r="ELK23" s="12"/>
      <c r="ELL23" s="12"/>
      <c r="ELM23" s="12"/>
      <c r="ELN23" s="12"/>
      <c r="ELO23" s="12"/>
      <c r="ELP23" s="12"/>
      <c r="ELQ23" s="12"/>
      <c r="ELR23" s="12"/>
      <c r="ELS23" s="12"/>
      <c r="ELT23" s="12"/>
      <c r="ELU23" s="12"/>
      <c r="ELV23" s="12"/>
      <c r="ELW23" s="12"/>
      <c r="ELX23" s="12"/>
      <c r="ELY23" s="12"/>
      <c r="ELZ23" s="12"/>
      <c r="EMA23" s="12"/>
      <c r="EMB23" s="12"/>
      <c r="EMC23" s="12"/>
      <c r="EMD23" s="12"/>
      <c r="EME23" s="12"/>
      <c r="EMF23" s="12"/>
      <c r="EMG23" s="12"/>
      <c r="EMH23" s="12"/>
      <c r="EMI23" s="12"/>
      <c r="EMJ23" s="12"/>
      <c r="EMK23" s="12"/>
      <c r="EML23" s="12"/>
      <c r="EMM23" s="12"/>
      <c r="EMN23" s="12"/>
      <c r="EMO23" s="12"/>
      <c r="EMP23" s="12"/>
      <c r="EMQ23" s="12"/>
      <c r="EMR23" s="12"/>
      <c r="EMS23" s="12"/>
      <c r="EMT23" s="12"/>
      <c r="EMU23" s="12"/>
      <c r="EMV23" s="12"/>
      <c r="EMW23" s="12"/>
      <c r="EMX23" s="12"/>
      <c r="EMY23" s="12"/>
      <c r="EMZ23" s="12"/>
      <c r="ENA23" s="12"/>
      <c r="ENB23" s="12"/>
      <c r="ENC23" s="12"/>
      <c r="END23" s="12"/>
      <c r="ENE23" s="12"/>
      <c r="ENF23" s="12"/>
      <c r="ENG23" s="12"/>
      <c r="ENH23" s="12"/>
      <c r="ENI23" s="12"/>
      <c r="ENJ23" s="12"/>
      <c r="ENK23" s="12"/>
      <c r="ENL23" s="12"/>
      <c r="ENM23" s="12"/>
      <c r="ENN23" s="12"/>
      <c r="ENO23" s="12"/>
      <c r="ENP23" s="12"/>
      <c r="ENQ23" s="12"/>
      <c r="ENR23" s="12"/>
      <c r="ENS23" s="12"/>
      <c r="ENT23" s="12"/>
      <c r="ENU23" s="12"/>
      <c r="ENV23" s="12"/>
      <c r="ENW23" s="12"/>
      <c r="ENX23" s="12"/>
      <c r="ENY23" s="12"/>
      <c r="ENZ23" s="12"/>
      <c r="EOA23" s="12"/>
      <c r="EOB23" s="12"/>
      <c r="EOC23" s="12"/>
      <c r="EOD23" s="12"/>
      <c r="EOE23" s="12"/>
      <c r="EOF23" s="12"/>
      <c r="EOG23" s="12"/>
      <c r="EOH23" s="12"/>
      <c r="EOI23" s="12"/>
      <c r="EOJ23" s="12"/>
      <c r="EOK23" s="12"/>
      <c r="EOL23" s="12"/>
      <c r="EOM23" s="12"/>
      <c r="EON23" s="12"/>
      <c r="EOO23" s="12"/>
      <c r="EOP23" s="12"/>
      <c r="EOQ23" s="12"/>
      <c r="EOR23" s="12"/>
      <c r="EOS23" s="12"/>
      <c r="EOT23" s="12"/>
      <c r="EOU23" s="12"/>
      <c r="EOV23" s="12"/>
      <c r="EOW23" s="12"/>
      <c r="EOX23" s="12"/>
      <c r="EOY23" s="12"/>
      <c r="EOZ23" s="12"/>
      <c r="EPA23" s="12"/>
      <c r="EPB23" s="12"/>
      <c r="EPC23" s="12"/>
      <c r="EPD23" s="12"/>
      <c r="EPE23" s="12"/>
      <c r="EPF23" s="12"/>
      <c r="EPG23" s="12"/>
      <c r="EPH23" s="12"/>
      <c r="EPI23" s="12"/>
      <c r="EPJ23" s="12"/>
      <c r="EPK23" s="12"/>
      <c r="EPL23" s="12"/>
      <c r="EPM23" s="12"/>
      <c r="EPN23" s="12"/>
      <c r="EPO23" s="12"/>
      <c r="EPP23" s="12"/>
      <c r="EPQ23" s="12"/>
      <c r="EPR23" s="12"/>
      <c r="EPS23" s="12"/>
      <c r="EPT23" s="12"/>
      <c r="EPU23" s="12"/>
      <c r="EPV23" s="12"/>
      <c r="EPW23" s="12"/>
      <c r="EPX23" s="12"/>
      <c r="EPY23" s="12"/>
      <c r="EPZ23" s="12"/>
      <c r="EQA23" s="12"/>
      <c r="EQB23" s="12"/>
      <c r="EQC23" s="12"/>
      <c r="EQD23" s="12"/>
      <c r="EQE23" s="12"/>
      <c r="EQF23" s="12"/>
      <c r="EQG23" s="12"/>
      <c r="EQH23" s="12"/>
      <c r="EQI23" s="12"/>
      <c r="EQJ23" s="12"/>
      <c r="EQK23" s="12"/>
      <c r="EQL23" s="12"/>
      <c r="EQM23" s="12"/>
      <c r="EQN23" s="12"/>
      <c r="EQO23" s="12"/>
      <c r="EQP23" s="12"/>
      <c r="EQQ23" s="12"/>
      <c r="EQR23" s="12"/>
      <c r="EQS23" s="12"/>
      <c r="EQT23" s="12"/>
      <c r="EQU23" s="12"/>
      <c r="EQV23" s="12"/>
      <c r="EQW23" s="12"/>
      <c r="EQX23" s="12"/>
      <c r="EQY23" s="12"/>
      <c r="EQZ23" s="12"/>
      <c r="ERA23" s="12"/>
      <c r="ERB23" s="12"/>
      <c r="ERC23" s="12"/>
      <c r="ERD23" s="12"/>
      <c r="ERE23" s="12"/>
      <c r="ERF23" s="12"/>
      <c r="ERG23" s="12"/>
      <c r="ERH23" s="12"/>
      <c r="ERI23" s="12"/>
      <c r="ERJ23" s="12"/>
      <c r="ERK23" s="12"/>
      <c r="ERL23" s="12"/>
      <c r="ERM23" s="12"/>
      <c r="ERN23" s="12"/>
      <c r="ERO23" s="12"/>
      <c r="ERP23" s="12"/>
      <c r="ERQ23" s="12"/>
      <c r="ERR23" s="12"/>
      <c r="ERS23" s="12"/>
      <c r="ERT23" s="12"/>
      <c r="ERU23" s="12"/>
      <c r="ERV23" s="12"/>
      <c r="ERW23" s="12"/>
      <c r="ERX23" s="12"/>
      <c r="ERY23" s="12"/>
      <c r="ERZ23" s="12"/>
      <c r="ESA23" s="12"/>
      <c r="ESB23" s="12"/>
      <c r="ESC23" s="12"/>
      <c r="ESD23" s="12"/>
      <c r="ESE23" s="12"/>
      <c r="ESF23" s="12"/>
      <c r="ESG23" s="12"/>
      <c r="ESH23" s="12"/>
      <c r="ESI23" s="12"/>
      <c r="ESJ23" s="12"/>
      <c r="ESK23" s="12"/>
      <c r="ESL23" s="12"/>
      <c r="ESM23" s="12"/>
      <c r="ESN23" s="12"/>
      <c r="ESO23" s="12"/>
      <c r="ESP23" s="12"/>
      <c r="ESQ23" s="12"/>
      <c r="ESR23" s="12"/>
      <c r="ESS23" s="12"/>
      <c r="EST23" s="12"/>
      <c r="ESU23" s="12"/>
      <c r="ESV23" s="12"/>
      <c r="ESW23" s="12"/>
      <c r="ESX23" s="12"/>
      <c r="ESY23" s="12"/>
      <c r="ESZ23" s="12"/>
      <c r="ETA23" s="12"/>
      <c r="ETB23" s="12"/>
      <c r="ETC23" s="12"/>
      <c r="ETD23" s="12"/>
      <c r="ETE23" s="12"/>
      <c r="ETF23" s="12"/>
      <c r="ETG23" s="12"/>
      <c r="ETH23" s="12"/>
      <c r="ETI23" s="12"/>
      <c r="ETJ23" s="12"/>
      <c r="ETK23" s="12"/>
      <c r="ETL23" s="12"/>
      <c r="ETM23" s="12"/>
      <c r="ETN23" s="12"/>
      <c r="ETO23" s="12"/>
      <c r="ETP23" s="12"/>
      <c r="ETQ23" s="12"/>
      <c r="ETR23" s="12"/>
      <c r="ETS23" s="12"/>
      <c r="ETT23" s="12"/>
      <c r="ETU23" s="12"/>
      <c r="ETV23" s="12"/>
      <c r="ETW23" s="12"/>
      <c r="ETX23" s="12"/>
      <c r="ETY23" s="12"/>
      <c r="ETZ23" s="12"/>
      <c r="EUA23" s="12"/>
      <c r="EUB23" s="12"/>
      <c r="EUC23" s="12"/>
      <c r="EUD23" s="12"/>
      <c r="EUE23" s="12"/>
      <c r="EUF23" s="12"/>
      <c r="EUG23" s="12"/>
      <c r="EUH23" s="12"/>
      <c r="EUI23" s="12"/>
      <c r="EUJ23" s="12"/>
      <c r="EUK23" s="12"/>
      <c r="EUL23" s="12"/>
      <c r="EUM23" s="12"/>
      <c r="EUN23" s="12"/>
      <c r="EUO23" s="12"/>
      <c r="EUP23" s="12"/>
      <c r="EUQ23" s="12"/>
      <c r="EUR23" s="12"/>
      <c r="EUS23" s="12"/>
      <c r="EUT23" s="12"/>
      <c r="EUU23" s="12"/>
      <c r="EUV23" s="12"/>
      <c r="EUW23" s="12"/>
      <c r="EUX23" s="12"/>
      <c r="EUY23" s="12"/>
      <c r="EUZ23" s="12"/>
      <c r="EVA23" s="12"/>
      <c r="EVB23" s="12"/>
      <c r="EVC23" s="12"/>
      <c r="EVD23" s="12"/>
      <c r="EVE23" s="12"/>
      <c r="EVF23" s="12"/>
      <c r="EVG23" s="12"/>
      <c r="EVH23" s="12"/>
      <c r="EVI23" s="12"/>
      <c r="EVJ23" s="12"/>
      <c r="EVK23" s="12"/>
      <c r="EVL23" s="12"/>
      <c r="EVM23" s="12"/>
      <c r="EVN23" s="12"/>
      <c r="EVO23" s="12"/>
      <c r="EVP23" s="12"/>
      <c r="EVQ23" s="12"/>
      <c r="EVR23" s="12"/>
      <c r="EVS23" s="12"/>
      <c r="EVT23" s="12"/>
      <c r="EVU23" s="12"/>
      <c r="EVV23" s="12"/>
      <c r="EVW23" s="12"/>
      <c r="EVX23" s="12"/>
      <c r="EVY23" s="12"/>
      <c r="EVZ23" s="12"/>
      <c r="EWA23" s="12"/>
      <c r="EWB23" s="12"/>
      <c r="EWC23" s="12"/>
      <c r="EWD23" s="12"/>
      <c r="EWE23" s="12"/>
      <c r="EWF23" s="12"/>
      <c r="EWG23" s="12"/>
      <c r="EWH23" s="12"/>
      <c r="EWI23" s="12"/>
      <c r="EWJ23" s="12"/>
      <c r="EWK23" s="12"/>
      <c r="EWL23" s="12"/>
      <c r="EWM23" s="12"/>
      <c r="EWN23" s="12"/>
      <c r="EWO23" s="12"/>
      <c r="EWP23" s="12"/>
      <c r="EWQ23" s="12"/>
      <c r="EWR23" s="12"/>
      <c r="EWS23" s="12"/>
      <c r="EWT23" s="12"/>
      <c r="EWU23" s="12"/>
      <c r="EWV23" s="12"/>
      <c r="EWW23" s="12"/>
      <c r="EWX23" s="12"/>
      <c r="EWY23" s="12"/>
      <c r="EWZ23" s="12"/>
      <c r="EXA23" s="12"/>
      <c r="EXB23" s="12"/>
      <c r="EXC23" s="12"/>
      <c r="EXD23" s="12"/>
      <c r="EXE23" s="12"/>
      <c r="EXF23" s="12"/>
      <c r="EXG23" s="12"/>
      <c r="EXH23" s="12"/>
      <c r="EXI23" s="12"/>
      <c r="EXJ23" s="12"/>
      <c r="EXK23" s="12"/>
      <c r="EXL23" s="12"/>
      <c r="EXM23" s="12"/>
      <c r="EXN23" s="12"/>
      <c r="EXO23" s="12"/>
      <c r="EXP23" s="12"/>
      <c r="EXQ23" s="12"/>
      <c r="EXR23" s="12"/>
      <c r="EXS23" s="12"/>
      <c r="EXT23" s="12"/>
      <c r="EXU23" s="12"/>
      <c r="EXV23" s="12"/>
      <c r="EXW23" s="12"/>
      <c r="EXX23" s="12"/>
      <c r="EXY23" s="12"/>
      <c r="EXZ23" s="12"/>
      <c r="EYA23" s="12"/>
      <c r="EYB23" s="12"/>
      <c r="EYC23" s="12"/>
      <c r="EYD23" s="12"/>
      <c r="EYE23" s="12"/>
      <c r="EYF23" s="12"/>
      <c r="EYG23" s="12"/>
      <c r="EYH23" s="12"/>
      <c r="EYI23" s="12"/>
      <c r="EYJ23" s="12"/>
      <c r="EYK23" s="12"/>
      <c r="EYL23" s="12"/>
      <c r="EYM23" s="12"/>
      <c r="EYN23" s="12"/>
      <c r="EYO23" s="12"/>
      <c r="EYP23" s="12"/>
      <c r="EYQ23" s="12"/>
      <c r="EYR23" s="12"/>
      <c r="EYS23" s="12"/>
      <c r="EYT23" s="12"/>
      <c r="EYU23" s="12"/>
      <c r="EYV23" s="12"/>
      <c r="EYW23" s="12"/>
      <c r="EYX23" s="12"/>
      <c r="EYY23" s="12"/>
      <c r="EYZ23" s="12"/>
      <c r="EZA23" s="12"/>
      <c r="EZB23" s="12"/>
      <c r="EZC23" s="12"/>
      <c r="EZD23" s="12"/>
      <c r="EZE23" s="12"/>
      <c r="EZF23" s="12"/>
      <c r="EZG23" s="12"/>
      <c r="EZH23" s="12"/>
      <c r="EZI23" s="12"/>
      <c r="EZJ23" s="12"/>
      <c r="EZK23" s="12"/>
      <c r="EZL23" s="12"/>
      <c r="EZM23" s="12"/>
      <c r="EZN23" s="12"/>
      <c r="EZO23" s="12"/>
      <c r="EZP23" s="12"/>
      <c r="EZQ23" s="12"/>
      <c r="EZR23" s="12"/>
      <c r="EZS23" s="12"/>
      <c r="EZT23" s="12"/>
      <c r="EZU23" s="12"/>
      <c r="EZV23" s="12"/>
      <c r="EZW23" s="12"/>
      <c r="EZX23" s="12"/>
      <c r="EZY23" s="12"/>
      <c r="EZZ23" s="12"/>
      <c r="FAA23" s="12"/>
      <c r="FAB23" s="12"/>
      <c r="FAC23" s="12"/>
      <c r="FAD23" s="12"/>
      <c r="FAE23" s="12"/>
      <c r="FAF23" s="12"/>
      <c r="FAG23" s="12"/>
      <c r="FAH23" s="12"/>
      <c r="FAI23" s="12"/>
      <c r="FAJ23" s="12"/>
      <c r="FAK23" s="12"/>
      <c r="FAL23" s="12"/>
      <c r="FAM23" s="12"/>
      <c r="FAN23" s="12"/>
      <c r="FAO23" s="12"/>
      <c r="FAP23" s="12"/>
      <c r="FAQ23" s="12"/>
      <c r="FAR23" s="12"/>
      <c r="FAS23" s="12"/>
      <c r="FAT23" s="12"/>
      <c r="FAU23" s="12"/>
      <c r="FAV23" s="12"/>
      <c r="FAW23" s="12"/>
      <c r="FAX23" s="12"/>
      <c r="FAY23" s="12"/>
      <c r="FAZ23" s="12"/>
      <c r="FBA23" s="12"/>
      <c r="FBB23" s="12"/>
      <c r="FBC23" s="12"/>
      <c r="FBD23" s="12"/>
      <c r="FBE23" s="12"/>
      <c r="FBF23" s="12"/>
      <c r="FBG23" s="12"/>
      <c r="FBH23" s="12"/>
      <c r="FBI23" s="12"/>
      <c r="FBJ23" s="12"/>
      <c r="FBK23" s="12"/>
      <c r="FBL23" s="12"/>
      <c r="FBM23" s="12"/>
      <c r="FBN23" s="12"/>
      <c r="FBO23" s="12"/>
      <c r="FBP23" s="12"/>
      <c r="FBQ23" s="12"/>
      <c r="FBR23" s="12"/>
      <c r="FBS23" s="12"/>
      <c r="FBT23" s="12"/>
      <c r="FBU23" s="12"/>
      <c r="FBV23" s="12"/>
      <c r="FBW23" s="12"/>
      <c r="FBX23" s="12"/>
      <c r="FBY23" s="12"/>
      <c r="FBZ23" s="12"/>
      <c r="FCA23" s="12"/>
      <c r="FCB23" s="12"/>
      <c r="FCC23" s="12"/>
      <c r="FCD23" s="12"/>
      <c r="FCE23" s="12"/>
      <c r="FCF23" s="12"/>
      <c r="FCG23" s="12"/>
      <c r="FCH23" s="12"/>
      <c r="FCI23" s="12"/>
      <c r="FCJ23" s="12"/>
      <c r="FCK23" s="12"/>
      <c r="FCL23" s="12"/>
      <c r="FCM23" s="12"/>
      <c r="FCN23" s="12"/>
      <c r="FCO23" s="12"/>
      <c r="FCP23" s="12"/>
      <c r="FCQ23" s="12"/>
      <c r="FCR23" s="12"/>
      <c r="FCS23" s="12"/>
      <c r="FCT23" s="12"/>
      <c r="FCU23" s="12"/>
      <c r="FCV23" s="12"/>
      <c r="FCW23" s="12"/>
      <c r="FCX23" s="12"/>
      <c r="FCY23" s="12"/>
      <c r="FCZ23" s="12"/>
      <c r="FDA23" s="12"/>
      <c r="FDB23" s="12"/>
      <c r="FDC23" s="12"/>
      <c r="FDD23" s="12"/>
      <c r="FDE23" s="12"/>
      <c r="FDF23" s="12"/>
      <c r="FDG23" s="12"/>
      <c r="FDH23" s="12"/>
      <c r="FDI23" s="12"/>
      <c r="FDJ23" s="12"/>
      <c r="FDK23" s="12"/>
      <c r="FDL23" s="12"/>
      <c r="FDM23" s="12"/>
      <c r="FDN23" s="12"/>
      <c r="FDO23" s="12"/>
      <c r="FDP23" s="12"/>
      <c r="FDQ23" s="12"/>
      <c r="FDR23" s="12"/>
      <c r="FDS23" s="12"/>
      <c r="FDT23" s="12"/>
      <c r="FDU23" s="12"/>
      <c r="FDV23" s="12"/>
      <c r="FDW23" s="12"/>
      <c r="FDX23" s="12"/>
      <c r="FDY23" s="12"/>
      <c r="FDZ23" s="12"/>
      <c r="FEA23" s="12"/>
      <c r="FEB23" s="12"/>
      <c r="FEC23" s="12"/>
      <c r="FED23" s="12"/>
      <c r="FEE23" s="12"/>
      <c r="FEF23" s="12"/>
      <c r="FEG23" s="12"/>
      <c r="FEH23" s="12"/>
      <c r="FEI23" s="12"/>
      <c r="FEJ23" s="12"/>
      <c r="FEK23" s="12"/>
      <c r="FEL23" s="12"/>
      <c r="FEM23" s="12"/>
      <c r="FEN23" s="12"/>
      <c r="FEO23" s="12"/>
      <c r="FEP23" s="12"/>
      <c r="FEQ23" s="12"/>
      <c r="FER23" s="12"/>
      <c r="FES23" s="12"/>
      <c r="FET23" s="12"/>
      <c r="FEU23" s="12"/>
      <c r="FEV23" s="12"/>
      <c r="FEW23" s="12"/>
      <c r="FEX23" s="12"/>
      <c r="FEY23" s="12"/>
      <c r="FEZ23" s="12"/>
      <c r="FFA23" s="12"/>
      <c r="FFB23" s="12"/>
      <c r="FFC23" s="12"/>
      <c r="FFD23" s="12"/>
      <c r="FFE23" s="12"/>
      <c r="FFF23" s="12"/>
      <c r="FFG23" s="12"/>
      <c r="FFH23" s="12"/>
      <c r="FFI23" s="12"/>
      <c r="FFJ23" s="12"/>
      <c r="FFK23" s="12"/>
      <c r="FFL23" s="12"/>
      <c r="FFM23" s="12"/>
      <c r="FFN23" s="12"/>
      <c r="FFO23" s="12"/>
      <c r="FFP23" s="12"/>
      <c r="FFQ23" s="12"/>
      <c r="FFR23" s="12"/>
      <c r="FFS23" s="12"/>
      <c r="FFT23" s="12"/>
      <c r="FFU23" s="12"/>
      <c r="FFV23" s="12"/>
      <c r="FFW23" s="12"/>
      <c r="FFX23" s="12"/>
      <c r="FFY23" s="12"/>
      <c r="FFZ23" s="12"/>
      <c r="FGA23" s="12"/>
      <c r="FGB23" s="12"/>
      <c r="FGC23" s="12"/>
      <c r="FGD23" s="12"/>
      <c r="FGE23" s="12"/>
      <c r="FGF23" s="12"/>
      <c r="FGG23" s="12"/>
      <c r="FGH23" s="12"/>
      <c r="FGI23" s="12"/>
      <c r="FGJ23" s="12"/>
      <c r="FGK23" s="12"/>
      <c r="FGL23" s="12"/>
      <c r="FGM23" s="12"/>
      <c r="FGN23" s="12"/>
      <c r="FGO23" s="12"/>
      <c r="FGP23" s="12"/>
      <c r="FGQ23" s="12"/>
      <c r="FGR23" s="12"/>
      <c r="FGS23" s="12"/>
      <c r="FGT23" s="12"/>
      <c r="FGU23" s="12"/>
      <c r="FGV23" s="12"/>
      <c r="FGW23" s="12"/>
      <c r="FGX23" s="12"/>
      <c r="FGY23" s="12"/>
      <c r="FGZ23" s="12"/>
      <c r="FHA23" s="12"/>
      <c r="FHB23" s="12"/>
      <c r="FHC23" s="12"/>
      <c r="FHD23" s="12"/>
      <c r="FHE23" s="12"/>
      <c r="FHF23" s="12"/>
      <c r="FHG23" s="12"/>
      <c r="FHH23" s="12"/>
      <c r="FHI23" s="12"/>
      <c r="FHJ23" s="12"/>
      <c r="FHK23" s="12"/>
      <c r="FHL23" s="12"/>
      <c r="FHM23" s="12"/>
      <c r="FHN23" s="12"/>
      <c r="FHO23" s="12"/>
      <c r="FHP23" s="12"/>
      <c r="FHQ23" s="12"/>
      <c r="FHR23" s="12"/>
      <c r="FHS23" s="12"/>
      <c r="FHT23" s="12"/>
      <c r="FHU23" s="12"/>
      <c r="FHV23" s="12"/>
      <c r="FHW23" s="12"/>
      <c r="FHX23" s="12"/>
      <c r="FHY23" s="12"/>
      <c r="FHZ23" s="12"/>
      <c r="FIA23" s="12"/>
      <c r="FIB23" s="12"/>
      <c r="FIC23" s="12"/>
      <c r="FID23" s="12"/>
      <c r="FIE23" s="12"/>
      <c r="FIF23" s="12"/>
      <c r="FIG23" s="12"/>
      <c r="FIH23" s="12"/>
      <c r="FII23" s="12"/>
      <c r="FIJ23" s="12"/>
      <c r="FIK23" s="12"/>
      <c r="FIL23" s="12"/>
      <c r="FIM23" s="12"/>
      <c r="FIN23" s="12"/>
      <c r="FIO23" s="12"/>
      <c r="FIP23" s="12"/>
      <c r="FIQ23" s="12"/>
      <c r="FIR23" s="12"/>
      <c r="FIS23" s="12"/>
      <c r="FIT23" s="12"/>
      <c r="FIU23" s="12"/>
      <c r="FIV23" s="12"/>
      <c r="FIW23" s="12"/>
      <c r="FIX23" s="12"/>
      <c r="FIY23" s="12"/>
      <c r="FIZ23" s="12"/>
      <c r="FJA23" s="12"/>
      <c r="FJB23" s="12"/>
      <c r="FJC23" s="12"/>
      <c r="FJD23" s="12"/>
      <c r="FJE23" s="12"/>
      <c r="FJF23" s="12"/>
      <c r="FJG23" s="12"/>
      <c r="FJH23" s="12"/>
      <c r="FJI23" s="12"/>
      <c r="FJJ23" s="12"/>
      <c r="FJK23" s="12"/>
      <c r="FJL23" s="12"/>
      <c r="FJM23" s="12"/>
      <c r="FJN23" s="12"/>
      <c r="FJO23" s="12"/>
      <c r="FJP23" s="12"/>
      <c r="FJQ23" s="12"/>
      <c r="FJR23" s="12"/>
      <c r="FJS23" s="12"/>
      <c r="FJT23" s="12"/>
      <c r="FJU23" s="12"/>
      <c r="FJV23" s="12"/>
      <c r="FJW23" s="12"/>
      <c r="FJX23" s="12"/>
      <c r="FJY23" s="12"/>
      <c r="FJZ23" s="12"/>
      <c r="FKA23" s="12"/>
      <c r="FKB23" s="12"/>
      <c r="FKC23" s="12"/>
      <c r="FKD23" s="12"/>
      <c r="FKE23" s="12"/>
      <c r="FKF23" s="12"/>
      <c r="FKG23" s="12"/>
      <c r="FKH23" s="12"/>
      <c r="FKI23" s="12"/>
      <c r="FKJ23" s="12"/>
      <c r="FKK23" s="12"/>
      <c r="FKL23" s="12"/>
      <c r="FKM23" s="12"/>
      <c r="FKN23" s="12"/>
      <c r="FKO23" s="12"/>
      <c r="FKP23" s="12"/>
      <c r="FKQ23" s="12"/>
      <c r="FKR23" s="12"/>
      <c r="FKS23" s="12"/>
      <c r="FKT23" s="12"/>
      <c r="FKU23" s="12"/>
      <c r="FKV23" s="12"/>
      <c r="FKW23" s="12"/>
      <c r="FKX23" s="12"/>
      <c r="FKY23" s="12"/>
      <c r="FKZ23" s="12"/>
      <c r="FLA23" s="12"/>
      <c r="FLB23" s="12"/>
      <c r="FLC23" s="12"/>
      <c r="FLD23" s="12"/>
      <c r="FLE23" s="12"/>
      <c r="FLF23" s="12"/>
      <c r="FLG23" s="12"/>
      <c r="FLH23" s="12"/>
      <c r="FLI23" s="12"/>
      <c r="FLJ23" s="12"/>
      <c r="FLK23" s="12"/>
      <c r="FLL23" s="12"/>
      <c r="FLM23" s="12"/>
      <c r="FLN23" s="12"/>
      <c r="FLO23" s="12"/>
      <c r="FLP23" s="12"/>
      <c r="FLQ23" s="12"/>
      <c r="FLR23" s="12"/>
      <c r="FLS23" s="12"/>
      <c r="FLT23" s="12"/>
      <c r="FLU23" s="12"/>
      <c r="FLV23" s="12"/>
      <c r="FLW23" s="12"/>
      <c r="FLX23" s="12"/>
      <c r="FLY23" s="12"/>
      <c r="FLZ23" s="12"/>
      <c r="FMA23" s="12"/>
      <c r="FMB23" s="12"/>
      <c r="FMC23" s="12"/>
      <c r="FMD23" s="12"/>
      <c r="FME23" s="12"/>
      <c r="FMF23" s="12"/>
      <c r="FMG23" s="12"/>
      <c r="FMH23" s="12"/>
      <c r="FMI23" s="12"/>
      <c r="FMJ23" s="12"/>
      <c r="FMK23" s="12"/>
      <c r="FML23" s="12"/>
      <c r="FMM23" s="12"/>
      <c r="FMN23" s="12"/>
      <c r="FMO23" s="12"/>
      <c r="FMP23" s="12"/>
      <c r="FMQ23" s="12"/>
      <c r="FMR23" s="12"/>
      <c r="FMS23" s="12"/>
      <c r="FMT23" s="12"/>
      <c r="FMU23" s="12"/>
      <c r="FMV23" s="12"/>
      <c r="FMW23" s="12"/>
      <c r="FMX23" s="12"/>
      <c r="FMY23" s="12"/>
      <c r="FMZ23" s="12"/>
      <c r="FNA23" s="12"/>
      <c r="FNB23" s="12"/>
      <c r="FNC23" s="12"/>
      <c r="FND23" s="12"/>
      <c r="FNE23" s="12"/>
      <c r="FNF23" s="12"/>
      <c r="FNG23" s="12"/>
      <c r="FNH23" s="12"/>
      <c r="FNI23" s="12"/>
      <c r="FNJ23" s="12"/>
      <c r="FNK23" s="12"/>
      <c r="FNL23" s="12"/>
      <c r="FNM23" s="12"/>
      <c r="FNN23" s="12"/>
      <c r="FNO23" s="12"/>
      <c r="FNP23" s="12"/>
      <c r="FNQ23" s="12"/>
      <c r="FNR23" s="12"/>
      <c r="FNS23" s="12"/>
      <c r="FNT23" s="12"/>
      <c r="FNU23" s="12"/>
      <c r="FNV23" s="12"/>
      <c r="FNW23" s="12"/>
      <c r="FNX23" s="12"/>
      <c r="FNY23" s="12"/>
      <c r="FNZ23" s="12"/>
      <c r="FOA23" s="12"/>
      <c r="FOB23" s="12"/>
      <c r="FOC23" s="12"/>
      <c r="FOD23" s="12"/>
      <c r="FOE23" s="12"/>
      <c r="FOF23" s="12"/>
      <c r="FOG23" s="12"/>
      <c r="FOH23" s="12"/>
      <c r="FOI23" s="12"/>
      <c r="FOJ23" s="12"/>
      <c r="FOK23" s="12"/>
      <c r="FOL23" s="12"/>
      <c r="FOM23" s="12"/>
      <c r="FON23" s="12"/>
      <c r="FOO23" s="12"/>
      <c r="FOP23" s="12"/>
      <c r="FOQ23" s="12"/>
      <c r="FOR23" s="12"/>
      <c r="FOS23" s="12"/>
      <c r="FOT23" s="12"/>
      <c r="FOU23" s="12"/>
      <c r="FOV23" s="12"/>
      <c r="FOW23" s="12"/>
      <c r="FOX23" s="12"/>
      <c r="FOY23" s="12"/>
      <c r="FOZ23" s="12"/>
      <c r="FPA23" s="12"/>
      <c r="FPB23" s="12"/>
      <c r="FPC23" s="12"/>
      <c r="FPD23" s="12"/>
      <c r="FPE23" s="12"/>
      <c r="FPF23" s="12"/>
      <c r="FPG23" s="12"/>
      <c r="FPH23" s="12"/>
      <c r="FPI23" s="12"/>
      <c r="FPJ23" s="12"/>
      <c r="FPK23" s="12"/>
      <c r="FPL23" s="12"/>
      <c r="FPM23" s="12"/>
      <c r="FPN23" s="12"/>
      <c r="FPO23" s="12"/>
      <c r="FPP23" s="12"/>
      <c r="FPQ23" s="12"/>
      <c r="FPR23" s="12"/>
      <c r="FPS23" s="12"/>
      <c r="FPT23" s="12"/>
      <c r="FPU23" s="12"/>
      <c r="FPV23" s="12"/>
      <c r="FPW23" s="12"/>
      <c r="FPX23" s="12"/>
      <c r="FPY23" s="12"/>
      <c r="FPZ23" s="12"/>
      <c r="FQA23" s="12"/>
      <c r="FQB23" s="12"/>
      <c r="FQC23" s="12"/>
      <c r="FQD23" s="12"/>
      <c r="FQE23" s="12"/>
      <c r="FQF23" s="12"/>
      <c r="FQG23" s="12"/>
      <c r="FQH23" s="12"/>
      <c r="FQI23" s="12"/>
      <c r="FQJ23" s="12"/>
      <c r="FQK23" s="12"/>
      <c r="FQL23" s="12"/>
      <c r="FQM23" s="12"/>
      <c r="FQN23" s="12"/>
      <c r="FQO23" s="12"/>
      <c r="FQP23" s="12"/>
      <c r="FQQ23" s="12"/>
      <c r="FQR23" s="12"/>
      <c r="FQS23" s="12"/>
      <c r="FQT23" s="12"/>
      <c r="FQU23" s="12"/>
      <c r="FQV23" s="12"/>
      <c r="FQW23" s="12"/>
      <c r="FQX23" s="12"/>
      <c r="FQY23" s="12"/>
      <c r="FQZ23" s="12"/>
      <c r="FRA23" s="12"/>
      <c r="FRB23" s="12"/>
      <c r="FRC23" s="12"/>
      <c r="FRD23" s="12"/>
      <c r="FRE23" s="12"/>
      <c r="FRF23" s="12"/>
      <c r="FRG23" s="12"/>
      <c r="FRH23" s="12"/>
      <c r="FRI23" s="12"/>
      <c r="FRJ23" s="12"/>
      <c r="FRK23" s="12"/>
      <c r="FRL23" s="12"/>
      <c r="FRM23" s="12"/>
      <c r="FRN23" s="12"/>
      <c r="FRO23" s="12"/>
      <c r="FRP23" s="12"/>
      <c r="FRQ23" s="12"/>
      <c r="FRR23" s="12"/>
      <c r="FRS23" s="12"/>
      <c r="FRT23" s="12"/>
      <c r="FRU23" s="12"/>
      <c r="FRV23" s="12"/>
      <c r="FRW23" s="12"/>
      <c r="FRX23" s="12"/>
      <c r="FRY23" s="12"/>
      <c r="FRZ23" s="12"/>
      <c r="FSA23" s="12"/>
      <c r="FSB23" s="12"/>
      <c r="FSC23" s="12"/>
      <c r="FSD23" s="12"/>
      <c r="FSE23" s="12"/>
      <c r="FSF23" s="12"/>
      <c r="FSG23" s="12"/>
      <c r="FSH23" s="12"/>
      <c r="FSI23" s="12"/>
      <c r="FSJ23" s="12"/>
      <c r="FSK23" s="12"/>
      <c r="FSL23" s="12"/>
      <c r="FSM23" s="12"/>
      <c r="FSN23" s="12"/>
      <c r="FSO23" s="12"/>
      <c r="FSP23" s="12"/>
      <c r="FSQ23" s="12"/>
      <c r="FSR23" s="12"/>
      <c r="FSS23" s="12"/>
      <c r="FST23" s="12"/>
      <c r="FSU23" s="12"/>
      <c r="FSV23" s="12"/>
      <c r="FSW23" s="12"/>
      <c r="FSX23" s="12"/>
      <c r="FSY23" s="12"/>
      <c r="FSZ23" s="12"/>
      <c r="FTA23" s="12"/>
      <c r="FTB23" s="12"/>
      <c r="FTC23" s="12"/>
      <c r="FTD23" s="12"/>
      <c r="FTE23" s="12"/>
      <c r="FTF23" s="12"/>
      <c r="FTG23" s="12"/>
      <c r="FTH23" s="12"/>
      <c r="FTI23" s="12"/>
      <c r="FTJ23" s="12"/>
      <c r="FTK23" s="12"/>
      <c r="FTL23" s="12"/>
      <c r="FTM23" s="12"/>
      <c r="FTN23" s="12"/>
      <c r="FTO23" s="12"/>
      <c r="FTP23" s="12"/>
      <c r="FTQ23" s="12"/>
      <c r="FTR23" s="12"/>
      <c r="FTS23" s="12"/>
      <c r="FTT23" s="12"/>
      <c r="FTU23" s="12"/>
      <c r="FTV23" s="12"/>
      <c r="FTW23" s="12"/>
      <c r="FTX23" s="12"/>
      <c r="FTY23" s="12"/>
      <c r="FTZ23" s="12"/>
      <c r="FUA23" s="12"/>
      <c r="FUB23" s="12"/>
      <c r="FUC23" s="12"/>
      <c r="FUD23" s="12"/>
      <c r="FUE23" s="12"/>
      <c r="FUF23" s="12"/>
      <c r="FUG23" s="12"/>
      <c r="FUH23" s="12"/>
      <c r="FUI23" s="12"/>
      <c r="FUJ23" s="12"/>
      <c r="FUK23" s="12"/>
      <c r="FUL23" s="12"/>
      <c r="FUM23" s="12"/>
      <c r="FUN23" s="12"/>
      <c r="FUO23" s="12"/>
      <c r="FUP23" s="12"/>
      <c r="FUQ23" s="12"/>
      <c r="FUR23" s="12"/>
      <c r="FUS23" s="12"/>
      <c r="FUT23" s="12"/>
      <c r="FUU23" s="12"/>
      <c r="FUV23" s="12"/>
      <c r="FUW23" s="12"/>
      <c r="FUX23" s="12"/>
      <c r="FUY23" s="12"/>
      <c r="FUZ23" s="12"/>
      <c r="FVA23" s="12"/>
      <c r="FVB23" s="12"/>
      <c r="FVC23" s="12"/>
      <c r="FVD23" s="12"/>
      <c r="FVE23" s="12"/>
      <c r="FVF23" s="12"/>
      <c r="FVG23" s="12"/>
      <c r="FVH23" s="12"/>
      <c r="FVI23" s="12"/>
      <c r="FVJ23" s="12"/>
      <c r="FVK23" s="12"/>
      <c r="FVL23" s="12"/>
      <c r="FVM23" s="12"/>
      <c r="FVN23" s="12"/>
      <c r="FVO23" s="12"/>
      <c r="FVP23" s="12"/>
      <c r="FVQ23" s="12"/>
      <c r="FVR23" s="12"/>
      <c r="FVS23" s="12"/>
      <c r="FVT23" s="12"/>
      <c r="FVU23" s="12"/>
      <c r="FVV23" s="12"/>
      <c r="FVW23" s="12"/>
      <c r="FVX23" s="12"/>
      <c r="FVY23" s="12"/>
      <c r="FVZ23" s="12"/>
      <c r="FWA23" s="12"/>
      <c r="FWB23" s="12"/>
      <c r="FWC23" s="12"/>
      <c r="FWD23" s="12"/>
      <c r="FWE23" s="12"/>
      <c r="FWF23" s="12"/>
      <c r="FWG23" s="12"/>
      <c r="FWH23" s="12"/>
      <c r="FWI23" s="12"/>
      <c r="FWJ23" s="12"/>
      <c r="FWK23" s="12"/>
      <c r="FWL23" s="12"/>
      <c r="FWM23" s="12"/>
      <c r="FWN23" s="12"/>
      <c r="FWO23" s="12"/>
      <c r="FWP23" s="12"/>
      <c r="FWQ23" s="12"/>
      <c r="FWR23" s="12"/>
      <c r="FWS23" s="12"/>
      <c r="FWT23" s="12"/>
      <c r="FWU23" s="12"/>
      <c r="FWV23" s="12"/>
      <c r="FWW23" s="12"/>
      <c r="FWX23" s="12"/>
      <c r="FWY23" s="12"/>
      <c r="FWZ23" s="12"/>
      <c r="FXA23" s="12"/>
      <c r="FXB23" s="12"/>
      <c r="FXC23" s="12"/>
      <c r="FXD23" s="12"/>
      <c r="FXE23" s="12"/>
      <c r="FXF23" s="12"/>
      <c r="FXG23" s="12"/>
      <c r="FXH23" s="12"/>
      <c r="FXI23" s="12"/>
      <c r="FXJ23" s="12"/>
      <c r="FXK23" s="12"/>
      <c r="FXL23" s="12"/>
      <c r="FXM23" s="12"/>
      <c r="FXN23" s="12"/>
      <c r="FXO23" s="12"/>
      <c r="FXP23" s="12"/>
      <c r="FXQ23" s="12"/>
      <c r="FXR23" s="12"/>
      <c r="FXS23" s="12"/>
      <c r="FXT23" s="12"/>
      <c r="FXU23" s="12"/>
      <c r="FXV23" s="12"/>
      <c r="FXW23" s="12"/>
      <c r="FXX23" s="12"/>
      <c r="FXY23" s="12"/>
      <c r="FXZ23" s="12"/>
      <c r="FYA23" s="12"/>
      <c r="FYB23" s="12"/>
      <c r="FYC23" s="12"/>
      <c r="FYD23" s="12"/>
      <c r="FYE23" s="12"/>
      <c r="FYF23" s="12"/>
      <c r="FYG23" s="12"/>
      <c r="FYH23" s="12"/>
      <c r="FYI23" s="12"/>
      <c r="FYJ23" s="12"/>
      <c r="FYK23" s="12"/>
      <c r="FYL23" s="12"/>
      <c r="FYM23" s="12"/>
      <c r="FYN23" s="12"/>
      <c r="FYO23" s="12"/>
      <c r="FYP23" s="12"/>
      <c r="FYQ23" s="12"/>
      <c r="FYR23" s="12"/>
      <c r="FYS23" s="12"/>
      <c r="FYT23" s="12"/>
      <c r="FYU23" s="12"/>
      <c r="FYV23" s="12"/>
      <c r="FYW23" s="12"/>
      <c r="FYX23" s="12"/>
      <c r="FYY23" s="12"/>
      <c r="FYZ23" s="12"/>
      <c r="FZA23" s="12"/>
      <c r="FZB23" s="12"/>
      <c r="FZC23" s="12"/>
      <c r="FZD23" s="12"/>
      <c r="FZE23" s="12"/>
      <c r="FZF23" s="12"/>
      <c r="FZG23" s="12"/>
      <c r="FZH23" s="12"/>
      <c r="FZI23" s="12"/>
      <c r="FZJ23" s="12"/>
      <c r="FZK23" s="12"/>
      <c r="FZL23" s="12"/>
      <c r="FZM23" s="12"/>
      <c r="FZN23" s="12"/>
      <c r="FZO23" s="12"/>
      <c r="FZP23" s="12"/>
      <c r="FZQ23" s="12"/>
      <c r="FZR23" s="12"/>
      <c r="FZS23" s="12"/>
      <c r="FZT23" s="12"/>
      <c r="FZU23" s="12"/>
      <c r="FZV23" s="12"/>
      <c r="FZW23" s="12"/>
      <c r="FZX23" s="12"/>
      <c r="FZY23" s="12"/>
      <c r="FZZ23" s="12"/>
      <c r="GAA23" s="12"/>
      <c r="GAB23" s="12"/>
      <c r="GAC23" s="12"/>
      <c r="GAD23" s="12"/>
      <c r="GAE23" s="12"/>
      <c r="GAF23" s="12"/>
      <c r="GAG23" s="12"/>
      <c r="GAH23" s="12"/>
      <c r="GAI23" s="12"/>
      <c r="GAJ23" s="12"/>
      <c r="GAK23" s="12"/>
      <c r="GAL23" s="12"/>
      <c r="GAM23" s="12"/>
      <c r="GAN23" s="12"/>
      <c r="GAO23" s="12"/>
      <c r="GAP23" s="12"/>
      <c r="GAQ23" s="12"/>
      <c r="GAR23" s="12"/>
      <c r="GAS23" s="12"/>
      <c r="GAT23" s="12"/>
      <c r="GAU23" s="12"/>
      <c r="GAV23" s="12"/>
      <c r="GAW23" s="12"/>
      <c r="GAX23" s="12"/>
      <c r="GAY23" s="12"/>
      <c r="GAZ23" s="12"/>
      <c r="GBA23" s="12"/>
      <c r="GBB23" s="12"/>
      <c r="GBC23" s="12"/>
      <c r="GBD23" s="12"/>
      <c r="GBE23" s="12"/>
      <c r="GBF23" s="12"/>
      <c r="GBG23" s="12"/>
      <c r="GBH23" s="12"/>
      <c r="GBI23" s="12"/>
      <c r="GBJ23" s="12"/>
      <c r="GBK23" s="12"/>
      <c r="GBL23" s="12"/>
      <c r="GBM23" s="12"/>
      <c r="GBN23" s="12"/>
      <c r="GBO23" s="12"/>
      <c r="GBP23" s="12"/>
      <c r="GBQ23" s="12"/>
      <c r="GBR23" s="12"/>
      <c r="GBS23" s="12"/>
      <c r="GBT23" s="12"/>
      <c r="GBU23" s="12"/>
      <c r="GBV23" s="12"/>
      <c r="GBW23" s="12"/>
      <c r="GBX23" s="12"/>
      <c r="GBY23" s="12"/>
      <c r="GBZ23" s="12"/>
      <c r="GCA23" s="12"/>
      <c r="GCB23" s="12"/>
      <c r="GCC23" s="12"/>
      <c r="GCD23" s="12"/>
      <c r="GCE23" s="12"/>
      <c r="GCF23" s="12"/>
      <c r="GCG23" s="12"/>
      <c r="GCH23" s="12"/>
      <c r="GCI23" s="12"/>
      <c r="GCJ23" s="12"/>
      <c r="GCK23" s="12"/>
      <c r="GCL23" s="12"/>
      <c r="GCM23" s="12"/>
      <c r="GCN23" s="12"/>
      <c r="GCO23" s="12"/>
      <c r="GCP23" s="12"/>
      <c r="GCQ23" s="12"/>
      <c r="GCR23" s="12"/>
      <c r="GCS23" s="12"/>
      <c r="GCT23" s="12"/>
      <c r="GCU23" s="12"/>
      <c r="GCV23" s="12"/>
      <c r="GCW23" s="12"/>
      <c r="GCX23" s="12"/>
      <c r="GCY23" s="12"/>
      <c r="GCZ23" s="12"/>
      <c r="GDA23" s="12"/>
      <c r="GDB23" s="12"/>
      <c r="GDC23" s="12"/>
      <c r="GDD23" s="12"/>
      <c r="GDE23" s="12"/>
      <c r="GDF23" s="12"/>
      <c r="GDG23" s="12"/>
      <c r="GDH23" s="12"/>
      <c r="GDI23" s="12"/>
      <c r="GDJ23" s="12"/>
      <c r="GDK23" s="12"/>
      <c r="GDL23" s="12"/>
      <c r="GDM23" s="12"/>
      <c r="GDN23" s="12"/>
      <c r="GDO23" s="12"/>
      <c r="GDP23" s="12"/>
      <c r="GDQ23" s="12"/>
      <c r="GDR23" s="12"/>
      <c r="GDS23" s="12"/>
      <c r="GDT23" s="12"/>
      <c r="GDU23" s="12"/>
      <c r="GDV23" s="12"/>
      <c r="GDW23" s="12"/>
      <c r="GDX23" s="12"/>
      <c r="GDY23" s="12"/>
      <c r="GDZ23" s="12"/>
      <c r="GEA23" s="12"/>
      <c r="GEB23" s="12"/>
      <c r="GEC23" s="12"/>
      <c r="GED23" s="12"/>
      <c r="GEE23" s="12"/>
      <c r="GEF23" s="12"/>
      <c r="GEG23" s="12"/>
      <c r="GEH23" s="12"/>
      <c r="GEI23" s="12"/>
      <c r="GEJ23" s="12"/>
      <c r="GEK23" s="12"/>
      <c r="GEL23" s="12"/>
      <c r="GEM23" s="12"/>
      <c r="GEN23" s="12"/>
      <c r="GEO23" s="12"/>
      <c r="GEP23" s="12"/>
      <c r="GEQ23" s="12"/>
      <c r="GER23" s="12"/>
      <c r="GES23" s="12"/>
      <c r="GET23" s="12"/>
      <c r="GEU23" s="12"/>
      <c r="GEV23" s="12"/>
      <c r="GEW23" s="12"/>
      <c r="GEX23" s="12"/>
      <c r="GEY23" s="12"/>
      <c r="GEZ23" s="12"/>
      <c r="GFA23" s="12"/>
      <c r="GFB23" s="12"/>
      <c r="GFC23" s="12"/>
      <c r="GFD23" s="12"/>
      <c r="GFE23" s="12"/>
      <c r="GFF23" s="12"/>
      <c r="GFG23" s="12"/>
      <c r="GFH23" s="12"/>
      <c r="GFI23" s="12"/>
      <c r="GFJ23" s="12"/>
      <c r="GFK23" s="12"/>
      <c r="GFL23" s="12"/>
      <c r="GFM23" s="12"/>
      <c r="GFN23" s="12"/>
      <c r="GFO23" s="12"/>
      <c r="GFP23" s="12"/>
      <c r="GFQ23" s="12"/>
      <c r="GFR23" s="12"/>
      <c r="GFS23" s="12"/>
      <c r="GFT23" s="12"/>
      <c r="GFU23" s="12"/>
      <c r="GFV23" s="12"/>
      <c r="GFW23" s="12"/>
      <c r="GFX23" s="12"/>
      <c r="GFY23" s="12"/>
      <c r="GFZ23" s="12"/>
      <c r="GGA23" s="12"/>
      <c r="GGB23" s="12"/>
      <c r="GGC23" s="12"/>
      <c r="GGD23" s="12"/>
      <c r="GGE23" s="12"/>
      <c r="GGF23" s="12"/>
      <c r="GGG23" s="12"/>
      <c r="GGH23" s="12"/>
      <c r="GGI23" s="12"/>
      <c r="GGJ23" s="12"/>
      <c r="GGK23" s="12"/>
      <c r="GGL23" s="12"/>
      <c r="GGM23" s="12"/>
      <c r="GGN23" s="12"/>
      <c r="GGO23" s="12"/>
      <c r="GGP23" s="12"/>
      <c r="GGQ23" s="12"/>
      <c r="GGR23" s="12"/>
      <c r="GGS23" s="12"/>
      <c r="GGT23" s="12"/>
      <c r="GGU23" s="12"/>
      <c r="GGV23" s="12"/>
      <c r="GGW23" s="12"/>
      <c r="GGX23" s="12"/>
      <c r="GGY23" s="12"/>
      <c r="GGZ23" s="12"/>
      <c r="GHA23" s="12"/>
      <c r="GHB23" s="12"/>
      <c r="GHC23" s="12"/>
      <c r="GHD23" s="12"/>
      <c r="GHE23" s="12"/>
      <c r="GHF23" s="12"/>
      <c r="GHG23" s="12"/>
      <c r="GHH23" s="12"/>
      <c r="GHI23" s="12"/>
      <c r="GHJ23" s="12"/>
      <c r="GHK23" s="12"/>
      <c r="GHL23" s="12"/>
      <c r="GHM23" s="12"/>
      <c r="GHN23" s="12"/>
      <c r="GHO23" s="12"/>
      <c r="GHP23" s="12"/>
      <c r="GHQ23" s="12"/>
      <c r="GHR23" s="12"/>
      <c r="GHS23" s="12"/>
      <c r="GHT23" s="12"/>
      <c r="GHU23" s="12"/>
      <c r="GHV23" s="12"/>
      <c r="GHW23" s="12"/>
      <c r="GHX23" s="12"/>
      <c r="GHY23" s="12"/>
      <c r="GHZ23" s="12"/>
      <c r="GIA23" s="12"/>
      <c r="GIB23" s="12"/>
      <c r="GIC23" s="12"/>
      <c r="GID23" s="12"/>
      <c r="GIE23" s="12"/>
      <c r="GIF23" s="12"/>
      <c r="GIG23" s="12"/>
      <c r="GIH23" s="12"/>
      <c r="GII23" s="12"/>
      <c r="GIJ23" s="12"/>
      <c r="GIK23" s="12"/>
      <c r="GIL23" s="12"/>
      <c r="GIM23" s="12"/>
      <c r="GIN23" s="12"/>
      <c r="GIO23" s="12"/>
      <c r="GIP23" s="12"/>
      <c r="GIQ23" s="12"/>
      <c r="GIR23" s="12"/>
      <c r="GIS23" s="12"/>
      <c r="GIT23" s="12"/>
      <c r="GIU23" s="12"/>
      <c r="GIV23" s="12"/>
      <c r="GIW23" s="12"/>
      <c r="GIX23" s="12"/>
      <c r="GIY23" s="12"/>
      <c r="GIZ23" s="12"/>
      <c r="GJA23" s="12"/>
      <c r="GJB23" s="12"/>
      <c r="GJC23" s="12"/>
      <c r="GJD23" s="12"/>
      <c r="GJE23" s="12"/>
      <c r="GJF23" s="12"/>
      <c r="GJG23" s="12"/>
      <c r="GJH23" s="12"/>
      <c r="GJI23" s="12"/>
      <c r="GJJ23" s="12"/>
      <c r="GJK23" s="12"/>
      <c r="GJL23" s="12"/>
      <c r="GJM23" s="12"/>
      <c r="GJN23" s="12"/>
      <c r="GJO23" s="12"/>
      <c r="GJP23" s="12"/>
      <c r="GJQ23" s="12"/>
      <c r="GJR23" s="12"/>
      <c r="GJS23" s="12"/>
      <c r="GJT23" s="12"/>
      <c r="GJU23" s="12"/>
      <c r="GJV23" s="12"/>
      <c r="GJW23" s="12"/>
      <c r="GJX23" s="12"/>
      <c r="GJY23" s="12"/>
      <c r="GJZ23" s="12"/>
      <c r="GKA23" s="12"/>
      <c r="GKB23" s="12"/>
      <c r="GKC23" s="12"/>
      <c r="GKD23" s="12"/>
      <c r="GKE23" s="12"/>
      <c r="GKF23" s="12"/>
      <c r="GKG23" s="12"/>
      <c r="GKH23" s="12"/>
      <c r="GKI23" s="12"/>
      <c r="GKJ23" s="12"/>
      <c r="GKK23" s="12"/>
      <c r="GKL23" s="12"/>
      <c r="GKM23" s="12"/>
      <c r="GKN23" s="12"/>
      <c r="GKO23" s="12"/>
      <c r="GKP23" s="12"/>
      <c r="GKQ23" s="12"/>
      <c r="GKR23" s="12"/>
      <c r="GKS23" s="12"/>
      <c r="GKT23" s="12"/>
      <c r="GKU23" s="12"/>
      <c r="GKV23" s="12"/>
      <c r="GKW23" s="12"/>
      <c r="GKX23" s="12"/>
      <c r="GKY23" s="12"/>
      <c r="GKZ23" s="12"/>
      <c r="GLA23" s="12"/>
      <c r="GLB23" s="12"/>
      <c r="GLC23" s="12"/>
      <c r="GLD23" s="12"/>
      <c r="GLE23" s="12"/>
      <c r="GLF23" s="12"/>
      <c r="GLG23" s="12"/>
      <c r="GLH23" s="12"/>
      <c r="GLI23" s="12"/>
      <c r="GLJ23" s="12"/>
      <c r="GLK23" s="12"/>
      <c r="GLL23" s="12"/>
      <c r="GLM23" s="12"/>
      <c r="GLN23" s="12"/>
      <c r="GLO23" s="12"/>
      <c r="GLP23" s="12"/>
      <c r="GLQ23" s="12"/>
      <c r="GLR23" s="12"/>
      <c r="GLS23" s="12"/>
      <c r="GLT23" s="12"/>
      <c r="GLU23" s="12"/>
      <c r="GLV23" s="12"/>
      <c r="GLW23" s="12"/>
      <c r="GLX23" s="12"/>
      <c r="GLY23" s="12"/>
      <c r="GLZ23" s="12"/>
      <c r="GMA23" s="12"/>
      <c r="GMB23" s="12"/>
      <c r="GMC23" s="12"/>
      <c r="GMD23" s="12"/>
      <c r="GME23" s="12"/>
      <c r="GMF23" s="12"/>
      <c r="GMG23" s="12"/>
      <c r="GMH23" s="12"/>
      <c r="GMI23" s="12"/>
      <c r="GMJ23" s="12"/>
      <c r="GMK23" s="12"/>
      <c r="GML23" s="12"/>
      <c r="GMM23" s="12"/>
      <c r="GMN23" s="12"/>
      <c r="GMO23" s="12"/>
      <c r="GMP23" s="12"/>
      <c r="GMQ23" s="12"/>
      <c r="GMR23" s="12"/>
      <c r="GMS23" s="12"/>
      <c r="GMT23" s="12"/>
      <c r="GMU23" s="12"/>
      <c r="GMV23" s="12"/>
      <c r="GMW23" s="12"/>
      <c r="GMX23" s="12"/>
      <c r="GMY23" s="12"/>
      <c r="GMZ23" s="12"/>
      <c r="GNA23" s="12"/>
      <c r="GNB23" s="12"/>
      <c r="GNC23" s="12"/>
      <c r="GND23" s="12"/>
      <c r="GNE23" s="12"/>
      <c r="GNF23" s="12"/>
      <c r="GNG23" s="12"/>
      <c r="GNH23" s="12"/>
      <c r="GNI23" s="12"/>
      <c r="GNJ23" s="12"/>
      <c r="GNK23" s="12"/>
      <c r="GNL23" s="12"/>
      <c r="GNM23" s="12"/>
      <c r="GNN23" s="12"/>
      <c r="GNO23" s="12"/>
      <c r="GNP23" s="12"/>
      <c r="GNQ23" s="12"/>
      <c r="GNR23" s="12"/>
      <c r="GNS23" s="12"/>
      <c r="GNT23" s="12"/>
      <c r="GNU23" s="12"/>
      <c r="GNV23" s="12"/>
      <c r="GNW23" s="12"/>
      <c r="GNX23" s="12"/>
      <c r="GNY23" s="12"/>
      <c r="GNZ23" s="12"/>
      <c r="GOA23" s="12"/>
      <c r="GOB23" s="12"/>
      <c r="GOC23" s="12"/>
      <c r="GOD23" s="12"/>
      <c r="GOE23" s="12"/>
      <c r="GOF23" s="12"/>
      <c r="GOG23" s="12"/>
      <c r="GOH23" s="12"/>
      <c r="GOI23" s="12"/>
      <c r="GOJ23" s="12"/>
      <c r="GOK23" s="12"/>
      <c r="GOL23" s="12"/>
      <c r="GOM23" s="12"/>
      <c r="GON23" s="12"/>
      <c r="GOO23" s="12"/>
      <c r="GOP23" s="12"/>
      <c r="GOQ23" s="12"/>
      <c r="GOR23" s="12"/>
      <c r="GOS23" s="12"/>
      <c r="GOT23" s="12"/>
      <c r="GOU23" s="12"/>
      <c r="GOV23" s="12"/>
      <c r="GOW23" s="12"/>
      <c r="GOX23" s="12"/>
      <c r="GOY23" s="12"/>
      <c r="GOZ23" s="12"/>
      <c r="GPA23" s="12"/>
      <c r="GPB23" s="12"/>
      <c r="GPC23" s="12"/>
      <c r="GPD23" s="12"/>
      <c r="GPE23" s="12"/>
      <c r="GPF23" s="12"/>
      <c r="GPG23" s="12"/>
      <c r="GPH23" s="12"/>
      <c r="GPI23" s="12"/>
      <c r="GPJ23" s="12"/>
      <c r="GPK23" s="12"/>
      <c r="GPL23" s="12"/>
      <c r="GPM23" s="12"/>
      <c r="GPN23" s="12"/>
      <c r="GPO23" s="12"/>
      <c r="GPP23" s="12"/>
      <c r="GPQ23" s="12"/>
      <c r="GPR23" s="12"/>
      <c r="GPS23" s="12"/>
      <c r="GPT23" s="12"/>
      <c r="GPU23" s="12"/>
      <c r="GPV23" s="12"/>
      <c r="GPW23" s="12"/>
      <c r="GPX23" s="12"/>
      <c r="GPY23" s="12"/>
      <c r="GPZ23" s="12"/>
      <c r="GQA23" s="12"/>
      <c r="GQB23" s="12"/>
      <c r="GQC23" s="12"/>
      <c r="GQD23" s="12"/>
      <c r="GQE23" s="12"/>
      <c r="GQF23" s="12"/>
      <c r="GQG23" s="12"/>
      <c r="GQH23" s="12"/>
      <c r="GQI23" s="12"/>
      <c r="GQJ23" s="12"/>
      <c r="GQK23" s="12"/>
      <c r="GQL23" s="12"/>
      <c r="GQM23" s="12"/>
      <c r="GQN23" s="12"/>
      <c r="GQO23" s="12"/>
      <c r="GQP23" s="12"/>
      <c r="GQQ23" s="12"/>
      <c r="GQR23" s="12"/>
      <c r="GQS23" s="12"/>
      <c r="GQT23" s="12"/>
      <c r="GQU23" s="12"/>
      <c r="GQV23" s="12"/>
      <c r="GQW23" s="12"/>
      <c r="GQX23" s="12"/>
      <c r="GQY23" s="12"/>
      <c r="GQZ23" s="12"/>
      <c r="GRA23" s="12"/>
      <c r="GRB23" s="12"/>
      <c r="GRC23" s="12"/>
      <c r="GRD23" s="12"/>
      <c r="GRE23" s="12"/>
      <c r="GRF23" s="12"/>
      <c r="GRG23" s="12"/>
      <c r="GRH23" s="12"/>
      <c r="GRI23" s="12"/>
      <c r="GRJ23" s="12"/>
      <c r="GRK23" s="12"/>
      <c r="GRL23" s="12"/>
      <c r="GRM23" s="12"/>
      <c r="GRN23" s="12"/>
      <c r="GRO23" s="12"/>
      <c r="GRP23" s="12"/>
      <c r="GRQ23" s="12"/>
      <c r="GRR23" s="12"/>
      <c r="GRS23" s="12"/>
      <c r="GRT23" s="12"/>
      <c r="GRU23" s="12"/>
      <c r="GRV23" s="12"/>
      <c r="GRW23" s="12"/>
      <c r="GRX23" s="12"/>
      <c r="GRY23" s="12"/>
      <c r="GRZ23" s="12"/>
      <c r="GSA23" s="12"/>
      <c r="GSB23" s="12"/>
      <c r="GSC23" s="12"/>
      <c r="GSD23" s="12"/>
      <c r="GSE23" s="12"/>
      <c r="GSF23" s="12"/>
      <c r="GSG23" s="12"/>
      <c r="GSH23" s="12"/>
      <c r="GSI23" s="12"/>
      <c r="GSJ23" s="12"/>
      <c r="GSK23" s="12"/>
      <c r="GSL23" s="12"/>
      <c r="GSM23" s="12"/>
      <c r="GSN23" s="12"/>
      <c r="GSO23" s="12"/>
      <c r="GSP23" s="12"/>
      <c r="GSQ23" s="12"/>
      <c r="GSR23" s="12"/>
      <c r="GSS23" s="12"/>
      <c r="GST23" s="12"/>
      <c r="GSU23" s="12"/>
      <c r="GSV23" s="12"/>
      <c r="GSW23" s="12"/>
      <c r="GSX23" s="12"/>
      <c r="GSY23" s="12"/>
      <c r="GSZ23" s="12"/>
      <c r="GTA23" s="12"/>
      <c r="GTB23" s="12"/>
      <c r="GTC23" s="12"/>
      <c r="GTD23" s="12"/>
      <c r="GTE23" s="12"/>
      <c r="GTF23" s="12"/>
      <c r="GTG23" s="12"/>
      <c r="GTH23" s="12"/>
      <c r="GTI23" s="12"/>
      <c r="GTJ23" s="12"/>
      <c r="GTK23" s="12"/>
      <c r="GTL23" s="12"/>
      <c r="GTM23" s="12"/>
      <c r="GTN23" s="12"/>
      <c r="GTO23" s="12"/>
      <c r="GTP23" s="12"/>
      <c r="GTQ23" s="12"/>
      <c r="GTR23" s="12"/>
      <c r="GTS23" s="12"/>
      <c r="GTT23" s="12"/>
      <c r="GTU23" s="12"/>
      <c r="GTV23" s="12"/>
      <c r="GTW23" s="12"/>
      <c r="GTX23" s="12"/>
      <c r="GTY23" s="12"/>
      <c r="GTZ23" s="12"/>
      <c r="GUA23" s="12"/>
      <c r="GUB23" s="12"/>
      <c r="GUC23" s="12"/>
      <c r="GUD23" s="12"/>
      <c r="GUE23" s="12"/>
      <c r="GUF23" s="12"/>
      <c r="GUG23" s="12"/>
      <c r="GUH23" s="12"/>
      <c r="GUI23" s="12"/>
      <c r="GUJ23" s="12"/>
      <c r="GUK23" s="12"/>
      <c r="GUL23" s="12"/>
      <c r="GUM23" s="12"/>
      <c r="GUN23" s="12"/>
      <c r="GUO23" s="12"/>
      <c r="GUP23" s="12"/>
      <c r="GUQ23" s="12"/>
      <c r="GUR23" s="12"/>
      <c r="GUS23" s="12"/>
      <c r="GUT23" s="12"/>
      <c r="GUU23" s="12"/>
      <c r="GUV23" s="12"/>
      <c r="GUW23" s="12"/>
      <c r="GUX23" s="12"/>
      <c r="GUY23" s="12"/>
      <c r="GUZ23" s="12"/>
      <c r="GVA23" s="12"/>
      <c r="GVB23" s="12"/>
      <c r="GVC23" s="12"/>
      <c r="GVD23" s="12"/>
      <c r="GVE23" s="12"/>
      <c r="GVF23" s="12"/>
      <c r="GVG23" s="12"/>
      <c r="GVH23" s="12"/>
      <c r="GVI23" s="12"/>
      <c r="GVJ23" s="12"/>
      <c r="GVK23" s="12"/>
      <c r="GVL23" s="12"/>
      <c r="GVM23" s="12"/>
      <c r="GVN23" s="12"/>
      <c r="GVO23" s="12"/>
      <c r="GVP23" s="12"/>
      <c r="GVQ23" s="12"/>
      <c r="GVR23" s="12"/>
      <c r="GVS23" s="12"/>
      <c r="GVT23" s="12"/>
      <c r="GVU23" s="12"/>
      <c r="GVV23" s="12"/>
      <c r="GVW23" s="12"/>
      <c r="GVX23" s="12"/>
      <c r="GVY23" s="12"/>
      <c r="GVZ23" s="12"/>
      <c r="GWA23" s="12"/>
      <c r="GWB23" s="12"/>
      <c r="GWC23" s="12"/>
      <c r="GWD23" s="12"/>
      <c r="GWE23" s="12"/>
      <c r="GWF23" s="12"/>
      <c r="GWG23" s="12"/>
      <c r="GWH23" s="12"/>
      <c r="GWI23" s="12"/>
      <c r="GWJ23" s="12"/>
      <c r="GWK23" s="12"/>
      <c r="GWL23" s="12"/>
      <c r="GWM23" s="12"/>
      <c r="GWN23" s="12"/>
      <c r="GWO23" s="12"/>
      <c r="GWP23" s="12"/>
      <c r="GWQ23" s="12"/>
      <c r="GWR23" s="12"/>
      <c r="GWS23" s="12"/>
      <c r="GWT23" s="12"/>
      <c r="GWU23" s="12"/>
      <c r="GWV23" s="12"/>
      <c r="GWW23" s="12"/>
      <c r="GWX23" s="12"/>
      <c r="GWY23" s="12"/>
      <c r="GWZ23" s="12"/>
      <c r="GXA23" s="12"/>
      <c r="GXB23" s="12"/>
      <c r="GXC23" s="12"/>
      <c r="GXD23" s="12"/>
      <c r="GXE23" s="12"/>
      <c r="GXF23" s="12"/>
      <c r="GXG23" s="12"/>
      <c r="GXH23" s="12"/>
      <c r="GXI23" s="12"/>
      <c r="GXJ23" s="12"/>
      <c r="GXK23" s="12"/>
      <c r="GXL23" s="12"/>
      <c r="GXM23" s="12"/>
      <c r="GXN23" s="12"/>
      <c r="GXO23" s="12"/>
      <c r="GXP23" s="12"/>
      <c r="GXQ23" s="12"/>
      <c r="GXR23" s="12"/>
      <c r="GXS23" s="12"/>
      <c r="GXT23" s="12"/>
      <c r="GXU23" s="12"/>
      <c r="GXV23" s="12"/>
      <c r="GXW23" s="12"/>
      <c r="GXX23" s="12"/>
      <c r="GXY23" s="12"/>
      <c r="GXZ23" s="12"/>
      <c r="GYA23" s="12"/>
      <c r="GYB23" s="12"/>
      <c r="GYC23" s="12"/>
      <c r="GYD23" s="12"/>
      <c r="GYE23" s="12"/>
      <c r="GYF23" s="12"/>
      <c r="GYG23" s="12"/>
      <c r="GYH23" s="12"/>
      <c r="GYI23" s="12"/>
      <c r="GYJ23" s="12"/>
      <c r="GYK23" s="12"/>
      <c r="GYL23" s="12"/>
      <c r="GYM23" s="12"/>
      <c r="GYN23" s="12"/>
      <c r="GYO23" s="12"/>
      <c r="GYP23" s="12"/>
      <c r="GYQ23" s="12"/>
      <c r="GYR23" s="12"/>
      <c r="GYS23" s="12"/>
      <c r="GYT23" s="12"/>
      <c r="GYU23" s="12"/>
      <c r="GYV23" s="12"/>
      <c r="GYW23" s="12"/>
      <c r="GYX23" s="12"/>
      <c r="GYY23" s="12"/>
      <c r="GYZ23" s="12"/>
      <c r="GZA23" s="12"/>
      <c r="GZB23" s="12"/>
      <c r="GZC23" s="12"/>
      <c r="GZD23" s="12"/>
      <c r="GZE23" s="12"/>
      <c r="GZF23" s="12"/>
      <c r="GZG23" s="12"/>
      <c r="GZH23" s="12"/>
      <c r="GZI23" s="12"/>
      <c r="GZJ23" s="12"/>
      <c r="GZK23" s="12"/>
      <c r="GZL23" s="12"/>
      <c r="GZM23" s="12"/>
      <c r="GZN23" s="12"/>
      <c r="GZO23" s="12"/>
      <c r="GZP23" s="12"/>
      <c r="GZQ23" s="12"/>
      <c r="GZR23" s="12"/>
      <c r="GZS23" s="12"/>
      <c r="GZT23" s="12"/>
      <c r="GZU23" s="12"/>
      <c r="GZV23" s="12"/>
      <c r="GZW23" s="12"/>
      <c r="GZX23" s="12"/>
      <c r="GZY23" s="12"/>
      <c r="GZZ23" s="12"/>
      <c r="HAA23" s="12"/>
      <c r="HAB23" s="12"/>
      <c r="HAC23" s="12"/>
      <c r="HAD23" s="12"/>
      <c r="HAE23" s="12"/>
      <c r="HAF23" s="12"/>
      <c r="HAG23" s="12"/>
      <c r="HAH23" s="12"/>
      <c r="HAI23" s="12"/>
      <c r="HAJ23" s="12"/>
      <c r="HAK23" s="12"/>
      <c r="HAL23" s="12"/>
      <c r="HAM23" s="12"/>
      <c r="HAN23" s="12"/>
      <c r="HAO23" s="12"/>
      <c r="HAP23" s="12"/>
      <c r="HAQ23" s="12"/>
      <c r="HAR23" s="12"/>
      <c r="HAS23" s="12"/>
      <c r="HAT23" s="12"/>
      <c r="HAU23" s="12"/>
      <c r="HAV23" s="12"/>
      <c r="HAW23" s="12"/>
      <c r="HAX23" s="12"/>
      <c r="HAY23" s="12"/>
      <c r="HAZ23" s="12"/>
      <c r="HBA23" s="12"/>
      <c r="HBB23" s="12"/>
      <c r="HBC23" s="12"/>
      <c r="HBD23" s="12"/>
      <c r="HBE23" s="12"/>
      <c r="HBF23" s="12"/>
      <c r="HBG23" s="12"/>
      <c r="HBH23" s="12"/>
      <c r="HBI23" s="12"/>
      <c r="HBJ23" s="12"/>
      <c r="HBK23" s="12"/>
      <c r="HBL23" s="12"/>
      <c r="HBM23" s="12"/>
      <c r="HBN23" s="12"/>
      <c r="HBO23" s="12"/>
      <c r="HBP23" s="12"/>
      <c r="HBQ23" s="12"/>
      <c r="HBR23" s="12"/>
      <c r="HBS23" s="12"/>
      <c r="HBT23" s="12"/>
      <c r="HBU23" s="12"/>
      <c r="HBV23" s="12"/>
      <c r="HBW23" s="12"/>
      <c r="HBX23" s="12"/>
      <c r="HBY23" s="12"/>
      <c r="HBZ23" s="12"/>
      <c r="HCA23" s="12"/>
      <c r="HCB23" s="12"/>
      <c r="HCC23" s="12"/>
      <c r="HCD23" s="12"/>
      <c r="HCE23" s="12"/>
      <c r="HCF23" s="12"/>
      <c r="HCG23" s="12"/>
      <c r="HCH23" s="12"/>
      <c r="HCI23" s="12"/>
      <c r="HCJ23" s="12"/>
      <c r="HCK23" s="12"/>
      <c r="HCL23" s="12"/>
      <c r="HCM23" s="12"/>
      <c r="HCN23" s="12"/>
      <c r="HCO23" s="12"/>
      <c r="HCP23" s="12"/>
      <c r="HCQ23" s="12"/>
      <c r="HCR23" s="12"/>
      <c r="HCS23" s="12"/>
      <c r="HCT23" s="12"/>
      <c r="HCU23" s="12"/>
      <c r="HCV23" s="12"/>
      <c r="HCW23" s="12"/>
      <c r="HCX23" s="12"/>
      <c r="HCY23" s="12"/>
      <c r="HCZ23" s="12"/>
      <c r="HDA23" s="12"/>
      <c r="HDB23" s="12"/>
      <c r="HDC23" s="12"/>
      <c r="HDD23" s="12"/>
      <c r="HDE23" s="12"/>
      <c r="HDF23" s="12"/>
      <c r="HDG23" s="12"/>
      <c r="HDH23" s="12"/>
      <c r="HDI23" s="12"/>
      <c r="HDJ23" s="12"/>
      <c r="HDK23" s="12"/>
      <c r="HDL23" s="12"/>
      <c r="HDM23" s="12"/>
      <c r="HDN23" s="12"/>
      <c r="HDO23" s="12"/>
      <c r="HDP23" s="12"/>
      <c r="HDQ23" s="12"/>
      <c r="HDR23" s="12"/>
      <c r="HDS23" s="12"/>
      <c r="HDT23" s="12"/>
      <c r="HDU23" s="12"/>
      <c r="HDV23" s="12"/>
      <c r="HDW23" s="12"/>
      <c r="HDX23" s="12"/>
      <c r="HDY23" s="12"/>
      <c r="HDZ23" s="12"/>
      <c r="HEA23" s="12"/>
      <c r="HEB23" s="12"/>
      <c r="HEC23" s="12"/>
      <c r="HED23" s="12"/>
      <c r="HEE23" s="12"/>
      <c r="HEF23" s="12"/>
      <c r="HEG23" s="12"/>
      <c r="HEH23" s="12"/>
      <c r="HEI23" s="12"/>
      <c r="HEJ23" s="12"/>
      <c r="HEK23" s="12"/>
      <c r="HEL23" s="12"/>
      <c r="HEM23" s="12"/>
      <c r="HEN23" s="12"/>
      <c r="HEO23" s="12"/>
      <c r="HEP23" s="12"/>
      <c r="HEQ23" s="12"/>
      <c r="HER23" s="12"/>
      <c r="HES23" s="12"/>
      <c r="HET23" s="12"/>
      <c r="HEU23" s="12"/>
      <c r="HEV23" s="12"/>
      <c r="HEW23" s="12"/>
      <c r="HEX23" s="12"/>
      <c r="HEY23" s="12"/>
      <c r="HEZ23" s="12"/>
      <c r="HFA23" s="12"/>
      <c r="HFB23" s="12"/>
      <c r="HFC23" s="12"/>
      <c r="HFD23" s="12"/>
      <c r="HFE23" s="12"/>
      <c r="HFF23" s="12"/>
      <c r="HFG23" s="12"/>
      <c r="HFH23" s="12"/>
      <c r="HFI23" s="12"/>
      <c r="HFJ23" s="12"/>
      <c r="HFK23" s="12"/>
      <c r="HFL23" s="12"/>
      <c r="HFM23" s="12"/>
      <c r="HFN23" s="12"/>
      <c r="HFO23" s="12"/>
      <c r="HFP23" s="12"/>
      <c r="HFQ23" s="12"/>
      <c r="HFR23" s="12"/>
      <c r="HFS23" s="12"/>
      <c r="HFT23" s="12"/>
      <c r="HFU23" s="12"/>
      <c r="HFV23" s="12"/>
      <c r="HFW23" s="12"/>
      <c r="HFX23" s="12"/>
      <c r="HFY23" s="12"/>
      <c r="HFZ23" s="12"/>
      <c r="HGA23" s="12"/>
      <c r="HGB23" s="12"/>
      <c r="HGC23" s="12"/>
      <c r="HGD23" s="12"/>
      <c r="HGE23" s="12"/>
      <c r="HGF23" s="12"/>
      <c r="HGG23" s="12"/>
      <c r="HGH23" s="12"/>
      <c r="HGI23" s="12"/>
      <c r="HGJ23" s="12"/>
      <c r="HGK23" s="12"/>
      <c r="HGL23" s="12"/>
      <c r="HGM23" s="12"/>
      <c r="HGN23" s="12"/>
      <c r="HGO23" s="12"/>
      <c r="HGP23" s="12"/>
      <c r="HGQ23" s="12"/>
      <c r="HGR23" s="12"/>
      <c r="HGS23" s="12"/>
      <c r="HGT23" s="12"/>
      <c r="HGU23" s="12"/>
      <c r="HGV23" s="12"/>
      <c r="HGW23" s="12"/>
      <c r="HGX23" s="12"/>
      <c r="HGY23" s="12"/>
      <c r="HGZ23" s="12"/>
      <c r="HHA23" s="12"/>
      <c r="HHB23" s="12"/>
      <c r="HHC23" s="12"/>
      <c r="HHD23" s="12"/>
      <c r="HHE23" s="12"/>
      <c r="HHF23" s="12"/>
      <c r="HHG23" s="12"/>
      <c r="HHH23" s="12"/>
      <c r="HHI23" s="12"/>
      <c r="HHJ23" s="12"/>
      <c r="HHK23" s="12"/>
      <c r="HHL23" s="12"/>
      <c r="HHM23" s="12"/>
      <c r="HHN23" s="12"/>
      <c r="HHO23" s="12"/>
      <c r="HHP23" s="12"/>
      <c r="HHQ23" s="12"/>
      <c r="HHR23" s="12"/>
      <c r="HHS23" s="12"/>
      <c r="HHT23" s="12"/>
      <c r="HHU23" s="12"/>
      <c r="HHV23" s="12"/>
      <c r="HHW23" s="12"/>
      <c r="HHX23" s="12"/>
      <c r="HHY23" s="12"/>
      <c r="HHZ23" s="12"/>
      <c r="HIA23" s="12"/>
      <c r="HIB23" s="12"/>
      <c r="HIC23" s="12"/>
      <c r="HID23" s="12"/>
      <c r="HIE23" s="12"/>
      <c r="HIF23" s="12"/>
      <c r="HIG23" s="12"/>
      <c r="HIH23" s="12"/>
      <c r="HII23" s="12"/>
      <c r="HIJ23" s="12"/>
      <c r="HIK23" s="12"/>
      <c r="HIL23" s="12"/>
      <c r="HIM23" s="12"/>
      <c r="HIN23" s="12"/>
      <c r="HIO23" s="12"/>
      <c r="HIP23" s="12"/>
      <c r="HIQ23" s="12"/>
      <c r="HIR23" s="12"/>
      <c r="HIS23" s="12"/>
      <c r="HIT23" s="12"/>
      <c r="HIU23" s="12"/>
      <c r="HIV23" s="12"/>
      <c r="HIW23" s="12"/>
      <c r="HIX23" s="12"/>
      <c r="HIY23" s="12"/>
      <c r="HIZ23" s="12"/>
      <c r="HJA23" s="12"/>
      <c r="HJB23" s="12"/>
      <c r="HJC23" s="12"/>
      <c r="HJD23" s="12"/>
      <c r="HJE23" s="12"/>
      <c r="HJF23" s="12"/>
      <c r="HJG23" s="12"/>
      <c r="HJH23" s="12"/>
      <c r="HJI23" s="12"/>
      <c r="HJJ23" s="12"/>
      <c r="HJK23" s="12"/>
      <c r="HJL23" s="12"/>
      <c r="HJM23" s="12"/>
      <c r="HJN23" s="12"/>
      <c r="HJO23" s="12"/>
      <c r="HJP23" s="12"/>
      <c r="HJQ23" s="12"/>
      <c r="HJR23" s="12"/>
      <c r="HJS23" s="12"/>
      <c r="HJT23" s="12"/>
      <c r="HJU23" s="12"/>
      <c r="HJV23" s="12"/>
      <c r="HJW23" s="12"/>
      <c r="HJX23" s="12"/>
      <c r="HJY23" s="12"/>
      <c r="HJZ23" s="12"/>
      <c r="HKA23" s="12"/>
      <c r="HKB23" s="12"/>
      <c r="HKC23" s="12"/>
      <c r="HKD23" s="12"/>
      <c r="HKE23" s="12"/>
      <c r="HKF23" s="12"/>
      <c r="HKG23" s="12"/>
      <c r="HKH23" s="12"/>
      <c r="HKI23" s="12"/>
      <c r="HKJ23" s="12"/>
      <c r="HKK23" s="12"/>
      <c r="HKL23" s="12"/>
      <c r="HKM23" s="12"/>
      <c r="HKN23" s="12"/>
      <c r="HKO23" s="12"/>
      <c r="HKP23" s="12"/>
      <c r="HKQ23" s="12"/>
      <c r="HKR23" s="12"/>
      <c r="HKS23" s="12"/>
      <c r="HKT23" s="12"/>
      <c r="HKU23" s="12"/>
      <c r="HKV23" s="12"/>
      <c r="HKW23" s="12"/>
      <c r="HKX23" s="12"/>
      <c r="HKY23" s="12"/>
      <c r="HKZ23" s="12"/>
      <c r="HLA23" s="12"/>
      <c r="HLB23" s="12"/>
      <c r="HLC23" s="12"/>
      <c r="HLD23" s="12"/>
      <c r="HLE23" s="12"/>
      <c r="HLF23" s="12"/>
      <c r="HLG23" s="12"/>
      <c r="HLH23" s="12"/>
      <c r="HLI23" s="12"/>
      <c r="HLJ23" s="12"/>
      <c r="HLK23" s="12"/>
      <c r="HLL23" s="12"/>
      <c r="HLM23" s="12"/>
      <c r="HLN23" s="12"/>
      <c r="HLO23" s="12"/>
      <c r="HLP23" s="12"/>
      <c r="HLQ23" s="12"/>
      <c r="HLR23" s="12"/>
      <c r="HLS23" s="12"/>
      <c r="HLT23" s="12"/>
      <c r="HLU23" s="12"/>
      <c r="HLV23" s="12"/>
      <c r="HLW23" s="12"/>
      <c r="HLX23" s="12"/>
      <c r="HLY23" s="12"/>
      <c r="HLZ23" s="12"/>
      <c r="HMA23" s="12"/>
      <c r="HMB23" s="12"/>
      <c r="HMC23" s="12"/>
      <c r="HMD23" s="12"/>
      <c r="HME23" s="12"/>
      <c r="HMF23" s="12"/>
      <c r="HMG23" s="12"/>
      <c r="HMH23" s="12"/>
      <c r="HMI23" s="12"/>
      <c r="HMJ23" s="12"/>
      <c r="HMK23" s="12"/>
      <c r="HML23" s="12"/>
      <c r="HMM23" s="12"/>
      <c r="HMN23" s="12"/>
      <c r="HMO23" s="12"/>
      <c r="HMP23" s="12"/>
      <c r="HMQ23" s="12"/>
      <c r="HMR23" s="12"/>
      <c r="HMS23" s="12"/>
      <c r="HMT23" s="12"/>
      <c r="HMU23" s="12"/>
      <c r="HMV23" s="12"/>
      <c r="HMW23" s="12"/>
      <c r="HMX23" s="12"/>
      <c r="HMY23" s="12"/>
      <c r="HMZ23" s="12"/>
      <c r="HNA23" s="12"/>
      <c r="HNB23" s="12"/>
      <c r="HNC23" s="12"/>
      <c r="HND23" s="12"/>
      <c r="HNE23" s="12"/>
      <c r="HNF23" s="12"/>
      <c r="HNG23" s="12"/>
      <c r="HNH23" s="12"/>
      <c r="HNI23" s="12"/>
      <c r="HNJ23" s="12"/>
      <c r="HNK23" s="12"/>
      <c r="HNL23" s="12"/>
      <c r="HNM23" s="12"/>
      <c r="HNN23" s="12"/>
      <c r="HNO23" s="12"/>
      <c r="HNP23" s="12"/>
      <c r="HNQ23" s="12"/>
      <c r="HNR23" s="12"/>
      <c r="HNS23" s="12"/>
      <c r="HNT23" s="12"/>
      <c r="HNU23" s="12"/>
      <c r="HNV23" s="12"/>
      <c r="HNW23" s="12"/>
      <c r="HNX23" s="12"/>
      <c r="HNY23" s="12"/>
      <c r="HNZ23" s="12"/>
      <c r="HOA23" s="12"/>
      <c r="HOB23" s="12"/>
      <c r="HOC23" s="12"/>
      <c r="HOD23" s="12"/>
      <c r="HOE23" s="12"/>
      <c r="HOF23" s="12"/>
      <c r="HOG23" s="12"/>
      <c r="HOH23" s="12"/>
      <c r="HOI23" s="12"/>
      <c r="HOJ23" s="12"/>
      <c r="HOK23" s="12"/>
      <c r="HOL23" s="12"/>
      <c r="HOM23" s="12"/>
      <c r="HON23" s="12"/>
      <c r="HOO23" s="12"/>
      <c r="HOP23" s="12"/>
      <c r="HOQ23" s="12"/>
      <c r="HOR23" s="12"/>
      <c r="HOS23" s="12"/>
      <c r="HOT23" s="12"/>
      <c r="HOU23" s="12"/>
      <c r="HOV23" s="12"/>
      <c r="HOW23" s="12"/>
      <c r="HOX23" s="12"/>
      <c r="HOY23" s="12"/>
      <c r="HOZ23" s="12"/>
      <c r="HPA23" s="12"/>
      <c r="HPB23" s="12"/>
      <c r="HPC23" s="12"/>
      <c r="HPD23" s="12"/>
      <c r="HPE23" s="12"/>
      <c r="HPF23" s="12"/>
      <c r="HPG23" s="12"/>
      <c r="HPH23" s="12"/>
      <c r="HPI23" s="12"/>
      <c r="HPJ23" s="12"/>
      <c r="HPK23" s="12"/>
      <c r="HPL23" s="12"/>
      <c r="HPM23" s="12"/>
      <c r="HPN23" s="12"/>
      <c r="HPO23" s="12"/>
      <c r="HPP23" s="12"/>
      <c r="HPQ23" s="12"/>
      <c r="HPR23" s="12"/>
      <c r="HPS23" s="12"/>
      <c r="HPT23" s="12"/>
      <c r="HPU23" s="12"/>
      <c r="HPV23" s="12"/>
      <c r="HPW23" s="12"/>
      <c r="HPX23" s="12"/>
      <c r="HPY23" s="12"/>
      <c r="HPZ23" s="12"/>
      <c r="HQA23" s="12"/>
      <c r="HQB23" s="12"/>
      <c r="HQC23" s="12"/>
      <c r="HQD23" s="12"/>
      <c r="HQE23" s="12"/>
      <c r="HQF23" s="12"/>
      <c r="HQG23" s="12"/>
      <c r="HQH23" s="12"/>
      <c r="HQI23" s="12"/>
      <c r="HQJ23" s="12"/>
      <c r="HQK23" s="12"/>
      <c r="HQL23" s="12"/>
      <c r="HQM23" s="12"/>
      <c r="HQN23" s="12"/>
      <c r="HQO23" s="12"/>
      <c r="HQP23" s="12"/>
      <c r="HQQ23" s="12"/>
      <c r="HQR23" s="12"/>
      <c r="HQS23" s="12"/>
      <c r="HQT23" s="12"/>
      <c r="HQU23" s="12"/>
      <c r="HQV23" s="12"/>
      <c r="HQW23" s="12"/>
      <c r="HQX23" s="12"/>
      <c r="HQY23" s="12"/>
      <c r="HQZ23" s="12"/>
      <c r="HRA23" s="12"/>
      <c r="HRB23" s="12"/>
      <c r="HRC23" s="12"/>
      <c r="HRD23" s="12"/>
      <c r="HRE23" s="12"/>
      <c r="HRF23" s="12"/>
      <c r="HRG23" s="12"/>
      <c r="HRH23" s="12"/>
      <c r="HRI23" s="12"/>
      <c r="HRJ23" s="12"/>
      <c r="HRK23" s="12"/>
      <c r="HRL23" s="12"/>
      <c r="HRM23" s="12"/>
      <c r="HRN23" s="12"/>
      <c r="HRO23" s="12"/>
      <c r="HRP23" s="12"/>
      <c r="HRQ23" s="12"/>
      <c r="HRR23" s="12"/>
      <c r="HRS23" s="12"/>
      <c r="HRT23" s="12"/>
      <c r="HRU23" s="12"/>
      <c r="HRV23" s="12"/>
      <c r="HRW23" s="12"/>
      <c r="HRX23" s="12"/>
      <c r="HRY23" s="12"/>
      <c r="HRZ23" s="12"/>
      <c r="HSA23" s="12"/>
      <c r="HSB23" s="12"/>
      <c r="HSC23" s="12"/>
      <c r="HSD23" s="12"/>
      <c r="HSE23" s="12"/>
      <c r="HSF23" s="12"/>
      <c r="HSG23" s="12"/>
      <c r="HSH23" s="12"/>
      <c r="HSI23" s="12"/>
      <c r="HSJ23" s="12"/>
      <c r="HSK23" s="12"/>
      <c r="HSL23" s="12"/>
      <c r="HSM23" s="12"/>
      <c r="HSN23" s="12"/>
      <c r="HSO23" s="12"/>
      <c r="HSP23" s="12"/>
      <c r="HSQ23" s="12"/>
      <c r="HSR23" s="12"/>
      <c r="HSS23" s="12"/>
      <c r="HST23" s="12"/>
      <c r="HSU23" s="12"/>
      <c r="HSV23" s="12"/>
      <c r="HSW23" s="12"/>
      <c r="HSX23" s="12"/>
      <c r="HSY23" s="12"/>
      <c r="HSZ23" s="12"/>
      <c r="HTA23" s="12"/>
      <c r="HTB23" s="12"/>
      <c r="HTC23" s="12"/>
      <c r="HTD23" s="12"/>
      <c r="HTE23" s="12"/>
      <c r="HTF23" s="12"/>
      <c r="HTG23" s="12"/>
      <c r="HTH23" s="12"/>
      <c r="HTI23" s="12"/>
      <c r="HTJ23" s="12"/>
      <c r="HTK23" s="12"/>
      <c r="HTL23" s="12"/>
      <c r="HTM23" s="12"/>
      <c r="HTN23" s="12"/>
      <c r="HTO23" s="12"/>
      <c r="HTP23" s="12"/>
      <c r="HTQ23" s="12"/>
      <c r="HTR23" s="12"/>
      <c r="HTS23" s="12"/>
      <c r="HTT23" s="12"/>
      <c r="HTU23" s="12"/>
      <c r="HTV23" s="12"/>
      <c r="HTW23" s="12"/>
      <c r="HTX23" s="12"/>
      <c r="HTY23" s="12"/>
      <c r="HTZ23" s="12"/>
      <c r="HUA23" s="12"/>
      <c r="HUB23" s="12"/>
      <c r="HUC23" s="12"/>
      <c r="HUD23" s="12"/>
      <c r="HUE23" s="12"/>
      <c r="HUF23" s="12"/>
      <c r="HUG23" s="12"/>
      <c r="HUH23" s="12"/>
      <c r="HUI23" s="12"/>
      <c r="HUJ23" s="12"/>
      <c r="HUK23" s="12"/>
      <c r="HUL23" s="12"/>
      <c r="HUM23" s="12"/>
      <c r="HUN23" s="12"/>
      <c r="HUO23" s="12"/>
      <c r="HUP23" s="12"/>
      <c r="HUQ23" s="12"/>
      <c r="HUR23" s="12"/>
      <c r="HUS23" s="12"/>
      <c r="HUT23" s="12"/>
      <c r="HUU23" s="12"/>
      <c r="HUV23" s="12"/>
      <c r="HUW23" s="12"/>
      <c r="HUX23" s="12"/>
      <c r="HUY23" s="12"/>
      <c r="HUZ23" s="12"/>
      <c r="HVA23" s="12"/>
      <c r="HVB23" s="12"/>
      <c r="HVC23" s="12"/>
      <c r="HVD23" s="12"/>
      <c r="HVE23" s="12"/>
      <c r="HVF23" s="12"/>
      <c r="HVG23" s="12"/>
      <c r="HVH23" s="12"/>
      <c r="HVI23" s="12"/>
      <c r="HVJ23" s="12"/>
      <c r="HVK23" s="12"/>
      <c r="HVL23" s="12"/>
      <c r="HVM23" s="12"/>
      <c r="HVN23" s="12"/>
      <c r="HVO23" s="12"/>
      <c r="HVP23" s="12"/>
      <c r="HVQ23" s="12"/>
      <c r="HVR23" s="12"/>
      <c r="HVS23" s="12"/>
      <c r="HVT23" s="12"/>
      <c r="HVU23" s="12"/>
      <c r="HVV23" s="12"/>
      <c r="HVW23" s="12"/>
      <c r="HVX23" s="12"/>
      <c r="HVY23" s="12"/>
      <c r="HVZ23" s="12"/>
      <c r="HWA23" s="12"/>
      <c r="HWB23" s="12"/>
      <c r="HWC23" s="12"/>
      <c r="HWD23" s="12"/>
      <c r="HWE23" s="12"/>
      <c r="HWF23" s="12"/>
      <c r="HWG23" s="12"/>
      <c r="HWH23" s="12"/>
      <c r="HWI23" s="12"/>
      <c r="HWJ23" s="12"/>
      <c r="HWK23" s="12"/>
      <c r="HWL23" s="12"/>
      <c r="HWM23" s="12"/>
      <c r="HWN23" s="12"/>
      <c r="HWO23" s="12"/>
      <c r="HWP23" s="12"/>
      <c r="HWQ23" s="12"/>
      <c r="HWR23" s="12"/>
      <c r="HWS23" s="12"/>
      <c r="HWT23" s="12"/>
      <c r="HWU23" s="12"/>
      <c r="HWV23" s="12"/>
      <c r="HWW23" s="12"/>
      <c r="HWX23" s="12"/>
      <c r="HWY23" s="12"/>
      <c r="HWZ23" s="12"/>
      <c r="HXA23" s="12"/>
      <c r="HXB23" s="12"/>
      <c r="HXC23" s="12"/>
      <c r="HXD23" s="12"/>
      <c r="HXE23" s="12"/>
      <c r="HXF23" s="12"/>
      <c r="HXG23" s="12"/>
      <c r="HXH23" s="12"/>
      <c r="HXI23" s="12"/>
      <c r="HXJ23" s="12"/>
      <c r="HXK23" s="12"/>
      <c r="HXL23" s="12"/>
      <c r="HXM23" s="12"/>
      <c r="HXN23" s="12"/>
      <c r="HXO23" s="12"/>
      <c r="HXP23" s="12"/>
      <c r="HXQ23" s="12"/>
      <c r="HXR23" s="12"/>
      <c r="HXS23" s="12"/>
      <c r="HXT23" s="12"/>
      <c r="HXU23" s="12"/>
      <c r="HXV23" s="12"/>
      <c r="HXW23" s="12"/>
      <c r="HXX23" s="12"/>
      <c r="HXY23" s="12"/>
      <c r="HXZ23" s="12"/>
      <c r="HYA23" s="12"/>
      <c r="HYB23" s="12"/>
      <c r="HYC23" s="12"/>
      <c r="HYD23" s="12"/>
      <c r="HYE23" s="12"/>
      <c r="HYF23" s="12"/>
      <c r="HYG23" s="12"/>
      <c r="HYH23" s="12"/>
      <c r="HYI23" s="12"/>
      <c r="HYJ23" s="12"/>
      <c r="HYK23" s="12"/>
      <c r="HYL23" s="12"/>
      <c r="HYM23" s="12"/>
      <c r="HYN23" s="12"/>
      <c r="HYO23" s="12"/>
      <c r="HYP23" s="12"/>
      <c r="HYQ23" s="12"/>
      <c r="HYR23" s="12"/>
      <c r="HYS23" s="12"/>
      <c r="HYT23" s="12"/>
      <c r="HYU23" s="12"/>
      <c r="HYV23" s="12"/>
      <c r="HYW23" s="12"/>
      <c r="HYX23" s="12"/>
      <c r="HYY23" s="12"/>
      <c r="HYZ23" s="12"/>
      <c r="HZA23" s="12"/>
      <c r="HZB23" s="12"/>
      <c r="HZC23" s="12"/>
      <c r="HZD23" s="12"/>
      <c r="HZE23" s="12"/>
      <c r="HZF23" s="12"/>
      <c r="HZG23" s="12"/>
      <c r="HZH23" s="12"/>
      <c r="HZI23" s="12"/>
      <c r="HZJ23" s="12"/>
      <c r="HZK23" s="12"/>
      <c r="HZL23" s="12"/>
      <c r="HZM23" s="12"/>
      <c r="HZN23" s="12"/>
      <c r="HZO23" s="12"/>
      <c r="HZP23" s="12"/>
      <c r="HZQ23" s="12"/>
      <c r="HZR23" s="12"/>
      <c r="HZS23" s="12"/>
      <c r="HZT23" s="12"/>
      <c r="HZU23" s="12"/>
      <c r="HZV23" s="12"/>
      <c r="HZW23" s="12"/>
      <c r="HZX23" s="12"/>
      <c r="HZY23" s="12"/>
      <c r="HZZ23" s="12"/>
      <c r="IAA23" s="12"/>
      <c r="IAB23" s="12"/>
      <c r="IAC23" s="12"/>
      <c r="IAD23" s="12"/>
      <c r="IAE23" s="12"/>
      <c r="IAF23" s="12"/>
      <c r="IAG23" s="12"/>
      <c r="IAH23" s="12"/>
      <c r="IAI23" s="12"/>
      <c r="IAJ23" s="12"/>
      <c r="IAK23" s="12"/>
      <c r="IAL23" s="12"/>
      <c r="IAM23" s="12"/>
      <c r="IAN23" s="12"/>
      <c r="IAO23" s="12"/>
      <c r="IAP23" s="12"/>
      <c r="IAQ23" s="12"/>
      <c r="IAR23" s="12"/>
      <c r="IAS23" s="12"/>
      <c r="IAT23" s="12"/>
      <c r="IAU23" s="12"/>
      <c r="IAV23" s="12"/>
      <c r="IAW23" s="12"/>
      <c r="IAX23" s="12"/>
      <c r="IAY23" s="12"/>
      <c r="IAZ23" s="12"/>
      <c r="IBA23" s="12"/>
      <c r="IBB23" s="12"/>
      <c r="IBC23" s="12"/>
      <c r="IBD23" s="12"/>
      <c r="IBE23" s="12"/>
      <c r="IBF23" s="12"/>
      <c r="IBG23" s="12"/>
      <c r="IBH23" s="12"/>
      <c r="IBI23" s="12"/>
      <c r="IBJ23" s="12"/>
      <c r="IBK23" s="12"/>
      <c r="IBL23" s="12"/>
      <c r="IBM23" s="12"/>
      <c r="IBN23" s="12"/>
      <c r="IBO23" s="12"/>
      <c r="IBP23" s="12"/>
      <c r="IBQ23" s="12"/>
      <c r="IBR23" s="12"/>
      <c r="IBS23" s="12"/>
      <c r="IBT23" s="12"/>
      <c r="IBU23" s="12"/>
      <c r="IBV23" s="12"/>
      <c r="IBW23" s="12"/>
      <c r="IBX23" s="12"/>
      <c r="IBY23" s="12"/>
      <c r="IBZ23" s="12"/>
      <c r="ICA23" s="12"/>
      <c r="ICB23" s="12"/>
      <c r="ICC23" s="12"/>
      <c r="ICD23" s="12"/>
      <c r="ICE23" s="12"/>
      <c r="ICF23" s="12"/>
      <c r="ICG23" s="12"/>
      <c r="ICH23" s="12"/>
      <c r="ICI23" s="12"/>
      <c r="ICJ23" s="12"/>
      <c r="ICK23" s="12"/>
      <c r="ICL23" s="12"/>
      <c r="ICM23" s="12"/>
      <c r="ICN23" s="12"/>
      <c r="ICO23" s="12"/>
      <c r="ICP23" s="12"/>
      <c r="ICQ23" s="12"/>
      <c r="ICR23" s="12"/>
      <c r="ICS23" s="12"/>
      <c r="ICT23" s="12"/>
      <c r="ICU23" s="12"/>
      <c r="ICV23" s="12"/>
      <c r="ICW23" s="12"/>
      <c r="ICX23" s="12"/>
      <c r="ICY23" s="12"/>
      <c r="ICZ23" s="12"/>
      <c r="IDA23" s="12"/>
      <c r="IDB23" s="12"/>
      <c r="IDC23" s="12"/>
      <c r="IDD23" s="12"/>
      <c r="IDE23" s="12"/>
      <c r="IDF23" s="12"/>
      <c r="IDG23" s="12"/>
      <c r="IDH23" s="12"/>
      <c r="IDI23" s="12"/>
      <c r="IDJ23" s="12"/>
      <c r="IDK23" s="12"/>
      <c r="IDL23" s="12"/>
      <c r="IDM23" s="12"/>
      <c r="IDN23" s="12"/>
      <c r="IDO23" s="12"/>
      <c r="IDP23" s="12"/>
      <c r="IDQ23" s="12"/>
      <c r="IDR23" s="12"/>
      <c r="IDS23" s="12"/>
      <c r="IDT23" s="12"/>
      <c r="IDU23" s="12"/>
      <c r="IDV23" s="12"/>
      <c r="IDW23" s="12"/>
      <c r="IDX23" s="12"/>
      <c r="IDY23" s="12"/>
      <c r="IDZ23" s="12"/>
      <c r="IEA23" s="12"/>
      <c r="IEB23" s="12"/>
      <c r="IEC23" s="12"/>
      <c r="IED23" s="12"/>
      <c r="IEE23" s="12"/>
      <c r="IEF23" s="12"/>
      <c r="IEG23" s="12"/>
      <c r="IEH23" s="12"/>
      <c r="IEI23" s="12"/>
      <c r="IEJ23" s="12"/>
      <c r="IEK23" s="12"/>
      <c r="IEL23" s="12"/>
      <c r="IEM23" s="12"/>
      <c r="IEN23" s="12"/>
      <c r="IEO23" s="12"/>
      <c r="IEP23" s="12"/>
      <c r="IEQ23" s="12"/>
      <c r="IER23" s="12"/>
      <c r="IES23" s="12"/>
      <c r="IET23" s="12"/>
      <c r="IEU23" s="12"/>
      <c r="IEV23" s="12"/>
      <c r="IEW23" s="12"/>
      <c r="IEX23" s="12"/>
      <c r="IEY23" s="12"/>
      <c r="IEZ23" s="12"/>
      <c r="IFA23" s="12"/>
      <c r="IFB23" s="12"/>
      <c r="IFC23" s="12"/>
      <c r="IFD23" s="12"/>
      <c r="IFE23" s="12"/>
      <c r="IFF23" s="12"/>
      <c r="IFG23" s="12"/>
      <c r="IFH23" s="12"/>
      <c r="IFI23" s="12"/>
      <c r="IFJ23" s="12"/>
      <c r="IFK23" s="12"/>
      <c r="IFL23" s="12"/>
      <c r="IFM23" s="12"/>
      <c r="IFN23" s="12"/>
      <c r="IFO23" s="12"/>
      <c r="IFP23" s="12"/>
      <c r="IFQ23" s="12"/>
      <c r="IFR23" s="12"/>
      <c r="IFS23" s="12"/>
      <c r="IFT23" s="12"/>
      <c r="IFU23" s="12"/>
      <c r="IFV23" s="12"/>
      <c r="IFW23" s="12"/>
      <c r="IFX23" s="12"/>
      <c r="IFY23" s="12"/>
      <c r="IFZ23" s="12"/>
      <c r="IGA23" s="12"/>
      <c r="IGB23" s="12"/>
      <c r="IGC23" s="12"/>
      <c r="IGD23" s="12"/>
      <c r="IGE23" s="12"/>
      <c r="IGF23" s="12"/>
      <c r="IGG23" s="12"/>
      <c r="IGH23" s="12"/>
      <c r="IGI23" s="12"/>
      <c r="IGJ23" s="12"/>
      <c r="IGK23" s="12"/>
      <c r="IGL23" s="12"/>
      <c r="IGM23" s="12"/>
      <c r="IGN23" s="12"/>
      <c r="IGO23" s="12"/>
      <c r="IGP23" s="12"/>
      <c r="IGQ23" s="12"/>
      <c r="IGR23" s="12"/>
      <c r="IGS23" s="12"/>
      <c r="IGT23" s="12"/>
      <c r="IGU23" s="12"/>
      <c r="IGV23" s="12"/>
      <c r="IGW23" s="12"/>
      <c r="IGX23" s="12"/>
      <c r="IGY23" s="12"/>
      <c r="IGZ23" s="12"/>
      <c r="IHA23" s="12"/>
      <c r="IHB23" s="12"/>
      <c r="IHC23" s="12"/>
      <c r="IHD23" s="12"/>
      <c r="IHE23" s="12"/>
      <c r="IHF23" s="12"/>
      <c r="IHG23" s="12"/>
      <c r="IHH23" s="12"/>
      <c r="IHI23" s="12"/>
      <c r="IHJ23" s="12"/>
      <c r="IHK23" s="12"/>
      <c r="IHL23" s="12"/>
      <c r="IHM23" s="12"/>
      <c r="IHN23" s="12"/>
      <c r="IHO23" s="12"/>
      <c r="IHP23" s="12"/>
      <c r="IHQ23" s="12"/>
      <c r="IHR23" s="12"/>
      <c r="IHS23" s="12"/>
      <c r="IHT23" s="12"/>
      <c r="IHU23" s="12"/>
      <c r="IHV23" s="12"/>
      <c r="IHW23" s="12"/>
      <c r="IHX23" s="12"/>
      <c r="IHY23" s="12"/>
      <c r="IHZ23" s="12"/>
      <c r="IIA23" s="12"/>
      <c r="IIB23" s="12"/>
      <c r="IIC23" s="12"/>
      <c r="IID23" s="12"/>
      <c r="IIE23" s="12"/>
      <c r="IIF23" s="12"/>
      <c r="IIG23" s="12"/>
      <c r="IIH23" s="12"/>
      <c r="III23" s="12"/>
      <c r="IIJ23" s="12"/>
      <c r="IIK23" s="12"/>
      <c r="IIL23" s="12"/>
      <c r="IIM23" s="12"/>
      <c r="IIN23" s="12"/>
      <c r="IIO23" s="12"/>
      <c r="IIP23" s="12"/>
      <c r="IIQ23" s="12"/>
      <c r="IIR23" s="12"/>
      <c r="IIS23" s="12"/>
      <c r="IIT23" s="12"/>
      <c r="IIU23" s="12"/>
      <c r="IIV23" s="12"/>
      <c r="IIW23" s="12"/>
      <c r="IIX23" s="12"/>
      <c r="IIY23" s="12"/>
      <c r="IIZ23" s="12"/>
      <c r="IJA23" s="12"/>
      <c r="IJB23" s="12"/>
      <c r="IJC23" s="12"/>
      <c r="IJD23" s="12"/>
      <c r="IJE23" s="12"/>
      <c r="IJF23" s="12"/>
      <c r="IJG23" s="12"/>
      <c r="IJH23" s="12"/>
      <c r="IJI23" s="12"/>
      <c r="IJJ23" s="12"/>
      <c r="IJK23" s="12"/>
      <c r="IJL23" s="12"/>
      <c r="IJM23" s="12"/>
      <c r="IJN23" s="12"/>
      <c r="IJO23" s="12"/>
      <c r="IJP23" s="12"/>
      <c r="IJQ23" s="12"/>
      <c r="IJR23" s="12"/>
      <c r="IJS23" s="12"/>
      <c r="IJT23" s="12"/>
      <c r="IJU23" s="12"/>
      <c r="IJV23" s="12"/>
      <c r="IJW23" s="12"/>
      <c r="IJX23" s="12"/>
      <c r="IJY23" s="12"/>
      <c r="IJZ23" s="12"/>
      <c r="IKA23" s="12"/>
      <c r="IKB23" s="12"/>
      <c r="IKC23" s="12"/>
      <c r="IKD23" s="12"/>
      <c r="IKE23" s="12"/>
      <c r="IKF23" s="12"/>
      <c r="IKG23" s="12"/>
      <c r="IKH23" s="12"/>
      <c r="IKI23" s="12"/>
      <c r="IKJ23" s="12"/>
      <c r="IKK23" s="12"/>
      <c r="IKL23" s="12"/>
      <c r="IKM23" s="12"/>
      <c r="IKN23" s="12"/>
      <c r="IKO23" s="12"/>
      <c r="IKP23" s="12"/>
      <c r="IKQ23" s="12"/>
      <c r="IKR23" s="12"/>
      <c r="IKS23" s="12"/>
      <c r="IKT23" s="12"/>
      <c r="IKU23" s="12"/>
      <c r="IKV23" s="12"/>
      <c r="IKW23" s="12"/>
      <c r="IKX23" s="12"/>
      <c r="IKY23" s="12"/>
      <c r="IKZ23" s="12"/>
      <c r="ILA23" s="12"/>
      <c r="ILB23" s="12"/>
      <c r="ILC23" s="12"/>
      <c r="ILD23" s="12"/>
      <c r="ILE23" s="12"/>
      <c r="ILF23" s="12"/>
      <c r="ILG23" s="12"/>
      <c r="ILH23" s="12"/>
      <c r="ILI23" s="12"/>
      <c r="ILJ23" s="12"/>
      <c r="ILK23" s="12"/>
      <c r="ILL23" s="12"/>
      <c r="ILM23" s="12"/>
      <c r="ILN23" s="12"/>
      <c r="ILO23" s="12"/>
      <c r="ILP23" s="12"/>
      <c r="ILQ23" s="12"/>
      <c r="ILR23" s="12"/>
      <c r="ILS23" s="12"/>
      <c r="ILT23" s="12"/>
      <c r="ILU23" s="12"/>
      <c r="ILV23" s="12"/>
      <c r="ILW23" s="12"/>
      <c r="ILX23" s="12"/>
      <c r="ILY23" s="12"/>
      <c r="ILZ23" s="12"/>
      <c r="IMA23" s="12"/>
      <c r="IMB23" s="12"/>
      <c r="IMC23" s="12"/>
      <c r="IMD23" s="12"/>
      <c r="IME23" s="12"/>
      <c r="IMF23" s="12"/>
      <c r="IMG23" s="12"/>
      <c r="IMH23" s="12"/>
      <c r="IMI23" s="12"/>
      <c r="IMJ23" s="12"/>
      <c r="IMK23" s="12"/>
      <c r="IML23" s="12"/>
      <c r="IMM23" s="12"/>
      <c r="IMN23" s="12"/>
      <c r="IMO23" s="12"/>
      <c r="IMP23" s="12"/>
      <c r="IMQ23" s="12"/>
      <c r="IMR23" s="12"/>
      <c r="IMS23" s="12"/>
      <c r="IMT23" s="12"/>
      <c r="IMU23" s="12"/>
      <c r="IMV23" s="12"/>
      <c r="IMW23" s="12"/>
      <c r="IMX23" s="12"/>
      <c r="IMY23" s="12"/>
      <c r="IMZ23" s="12"/>
      <c r="INA23" s="12"/>
      <c r="INB23" s="12"/>
      <c r="INC23" s="12"/>
      <c r="IND23" s="12"/>
      <c r="INE23" s="12"/>
      <c r="INF23" s="12"/>
      <c r="ING23" s="12"/>
      <c r="INH23" s="12"/>
      <c r="INI23" s="12"/>
      <c r="INJ23" s="12"/>
      <c r="INK23" s="12"/>
      <c r="INL23" s="12"/>
      <c r="INM23" s="12"/>
      <c r="INN23" s="12"/>
      <c r="INO23" s="12"/>
      <c r="INP23" s="12"/>
      <c r="INQ23" s="12"/>
      <c r="INR23" s="12"/>
      <c r="INS23" s="12"/>
      <c r="INT23" s="12"/>
      <c r="INU23" s="12"/>
      <c r="INV23" s="12"/>
      <c r="INW23" s="12"/>
      <c r="INX23" s="12"/>
      <c r="INY23" s="12"/>
      <c r="INZ23" s="12"/>
      <c r="IOA23" s="12"/>
      <c r="IOB23" s="12"/>
      <c r="IOC23" s="12"/>
      <c r="IOD23" s="12"/>
      <c r="IOE23" s="12"/>
      <c r="IOF23" s="12"/>
      <c r="IOG23" s="12"/>
      <c r="IOH23" s="12"/>
      <c r="IOI23" s="12"/>
      <c r="IOJ23" s="12"/>
      <c r="IOK23" s="12"/>
      <c r="IOL23" s="12"/>
      <c r="IOM23" s="12"/>
      <c r="ION23" s="12"/>
      <c r="IOO23" s="12"/>
      <c r="IOP23" s="12"/>
      <c r="IOQ23" s="12"/>
      <c r="IOR23" s="12"/>
      <c r="IOS23" s="12"/>
      <c r="IOT23" s="12"/>
      <c r="IOU23" s="12"/>
      <c r="IOV23" s="12"/>
      <c r="IOW23" s="12"/>
      <c r="IOX23" s="12"/>
      <c r="IOY23" s="12"/>
      <c r="IOZ23" s="12"/>
      <c r="IPA23" s="12"/>
      <c r="IPB23" s="12"/>
      <c r="IPC23" s="12"/>
      <c r="IPD23" s="12"/>
      <c r="IPE23" s="12"/>
      <c r="IPF23" s="12"/>
      <c r="IPG23" s="12"/>
      <c r="IPH23" s="12"/>
      <c r="IPI23" s="12"/>
      <c r="IPJ23" s="12"/>
      <c r="IPK23" s="12"/>
      <c r="IPL23" s="12"/>
      <c r="IPM23" s="12"/>
      <c r="IPN23" s="12"/>
      <c r="IPO23" s="12"/>
      <c r="IPP23" s="12"/>
      <c r="IPQ23" s="12"/>
      <c r="IPR23" s="12"/>
      <c r="IPS23" s="12"/>
      <c r="IPT23" s="12"/>
      <c r="IPU23" s="12"/>
      <c r="IPV23" s="12"/>
      <c r="IPW23" s="12"/>
      <c r="IPX23" s="12"/>
      <c r="IPY23" s="12"/>
      <c r="IPZ23" s="12"/>
      <c r="IQA23" s="12"/>
      <c r="IQB23" s="12"/>
      <c r="IQC23" s="12"/>
      <c r="IQD23" s="12"/>
      <c r="IQE23" s="12"/>
      <c r="IQF23" s="12"/>
      <c r="IQG23" s="12"/>
      <c r="IQH23" s="12"/>
      <c r="IQI23" s="12"/>
      <c r="IQJ23" s="12"/>
      <c r="IQK23" s="12"/>
      <c r="IQL23" s="12"/>
      <c r="IQM23" s="12"/>
      <c r="IQN23" s="12"/>
      <c r="IQO23" s="12"/>
      <c r="IQP23" s="12"/>
      <c r="IQQ23" s="12"/>
      <c r="IQR23" s="12"/>
      <c r="IQS23" s="12"/>
      <c r="IQT23" s="12"/>
      <c r="IQU23" s="12"/>
      <c r="IQV23" s="12"/>
      <c r="IQW23" s="12"/>
      <c r="IQX23" s="12"/>
      <c r="IQY23" s="12"/>
      <c r="IQZ23" s="12"/>
      <c r="IRA23" s="12"/>
      <c r="IRB23" s="12"/>
      <c r="IRC23" s="12"/>
      <c r="IRD23" s="12"/>
      <c r="IRE23" s="12"/>
      <c r="IRF23" s="12"/>
      <c r="IRG23" s="12"/>
      <c r="IRH23" s="12"/>
      <c r="IRI23" s="12"/>
      <c r="IRJ23" s="12"/>
      <c r="IRK23" s="12"/>
      <c r="IRL23" s="12"/>
      <c r="IRM23" s="12"/>
      <c r="IRN23" s="12"/>
      <c r="IRO23" s="12"/>
      <c r="IRP23" s="12"/>
      <c r="IRQ23" s="12"/>
      <c r="IRR23" s="12"/>
      <c r="IRS23" s="12"/>
      <c r="IRT23" s="12"/>
      <c r="IRU23" s="12"/>
      <c r="IRV23" s="12"/>
      <c r="IRW23" s="12"/>
      <c r="IRX23" s="12"/>
      <c r="IRY23" s="12"/>
      <c r="IRZ23" s="12"/>
      <c r="ISA23" s="12"/>
      <c r="ISB23" s="12"/>
      <c r="ISC23" s="12"/>
      <c r="ISD23" s="12"/>
      <c r="ISE23" s="12"/>
      <c r="ISF23" s="12"/>
      <c r="ISG23" s="12"/>
      <c r="ISH23" s="12"/>
      <c r="ISI23" s="12"/>
      <c r="ISJ23" s="12"/>
      <c r="ISK23" s="12"/>
      <c r="ISL23" s="12"/>
      <c r="ISM23" s="12"/>
      <c r="ISN23" s="12"/>
      <c r="ISO23" s="12"/>
      <c r="ISP23" s="12"/>
      <c r="ISQ23" s="12"/>
      <c r="ISR23" s="12"/>
      <c r="ISS23" s="12"/>
      <c r="IST23" s="12"/>
      <c r="ISU23" s="12"/>
      <c r="ISV23" s="12"/>
      <c r="ISW23" s="12"/>
      <c r="ISX23" s="12"/>
      <c r="ISY23" s="12"/>
      <c r="ISZ23" s="12"/>
      <c r="ITA23" s="12"/>
      <c r="ITB23" s="12"/>
      <c r="ITC23" s="12"/>
      <c r="ITD23" s="12"/>
      <c r="ITE23" s="12"/>
      <c r="ITF23" s="12"/>
      <c r="ITG23" s="12"/>
      <c r="ITH23" s="12"/>
      <c r="ITI23" s="12"/>
      <c r="ITJ23" s="12"/>
      <c r="ITK23" s="12"/>
      <c r="ITL23" s="12"/>
      <c r="ITM23" s="12"/>
      <c r="ITN23" s="12"/>
      <c r="ITO23" s="12"/>
      <c r="ITP23" s="12"/>
      <c r="ITQ23" s="12"/>
      <c r="ITR23" s="12"/>
      <c r="ITS23" s="12"/>
      <c r="ITT23" s="12"/>
      <c r="ITU23" s="12"/>
      <c r="ITV23" s="12"/>
      <c r="ITW23" s="12"/>
      <c r="ITX23" s="12"/>
      <c r="ITY23" s="12"/>
      <c r="ITZ23" s="12"/>
      <c r="IUA23" s="12"/>
      <c r="IUB23" s="12"/>
      <c r="IUC23" s="12"/>
      <c r="IUD23" s="12"/>
      <c r="IUE23" s="12"/>
      <c r="IUF23" s="12"/>
      <c r="IUG23" s="12"/>
      <c r="IUH23" s="12"/>
      <c r="IUI23" s="12"/>
      <c r="IUJ23" s="12"/>
      <c r="IUK23" s="12"/>
      <c r="IUL23" s="12"/>
      <c r="IUM23" s="12"/>
      <c r="IUN23" s="12"/>
      <c r="IUO23" s="12"/>
      <c r="IUP23" s="12"/>
      <c r="IUQ23" s="12"/>
      <c r="IUR23" s="12"/>
      <c r="IUS23" s="12"/>
      <c r="IUT23" s="12"/>
      <c r="IUU23" s="12"/>
      <c r="IUV23" s="12"/>
      <c r="IUW23" s="12"/>
      <c r="IUX23" s="12"/>
      <c r="IUY23" s="12"/>
      <c r="IUZ23" s="12"/>
      <c r="IVA23" s="12"/>
      <c r="IVB23" s="12"/>
      <c r="IVC23" s="12"/>
      <c r="IVD23" s="12"/>
      <c r="IVE23" s="12"/>
      <c r="IVF23" s="12"/>
      <c r="IVG23" s="12"/>
      <c r="IVH23" s="12"/>
      <c r="IVI23" s="12"/>
      <c r="IVJ23" s="12"/>
      <c r="IVK23" s="12"/>
      <c r="IVL23" s="12"/>
      <c r="IVM23" s="12"/>
      <c r="IVN23" s="12"/>
      <c r="IVO23" s="12"/>
      <c r="IVP23" s="12"/>
      <c r="IVQ23" s="12"/>
      <c r="IVR23" s="12"/>
      <c r="IVS23" s="12"/>
      <c r="IVT23" s="12"/>
      <c r="IVU23" s="12"/>
      <c r="IVV23" s="12"/>
      <c r="IVW23" s="12"/>
      <c r="IVX23" s="12"/>
      <c r="IVY23" s="12"/>
      <c r="IVZ23" s="12"/>
      <c r="IWA23" s="12"/>
      <c r="IWB23" s="12"/>
      <c r="IWC23" s="12"/>
      <c r="IWD23" s="12"/>
      <c r="IWE23" s="12"/>
      <c r="IWF23" s="12"/>
      <c r="IWG23" s="12"/>
      <c r="IWH23" s="12"/>
      <c r="IWI23" s="12"/>
      <c r="IWJ23" s="12"/>
      <c r="IWK23" s="12"/>
      <c r="IWL23" s="12"/>
      <c r="IWM23" s="12"/>
      <c r="IWN23" s="12"/>
      <c r="IWO23" s="12"/>
      <c r="IWP23" s="12"/>
      <c r="IWQ23" s="12"/>
      <c r="IWR23" s="12"/>
      <c r="IWS23" s="12"/>
      <c r="IWT23" s="12"/>
      <c r="IWU23" s="12"/>
      <c r="IWV23" s="12"/>
      <c r="IWW23" s="12"/>
      <c r="IWX23" s="12"/>
      <c r="IWY23" s="12"/>
      <c r="IWZ23" s="12"/>
      <c r="IXA23" s="12"/>
      <c r="IXB23" s="12"/>
      <c r="IXC23" s="12"/>
      <c r="IXD23" s="12"/>
      <c r="IXE23" s="12"/>
      <c r="IXF23" s="12"/>
      <c r="IXG23" s="12"/>
      <c r="IXH23" s="12"/>
      <c r="IXI23" s="12"/>
      <c r="IXJ23" s="12"/>
      <c r="IXK23" s="12"/>
      <c r="IXL23" s="12"/>
      <c r="IXM23" s="12"/>
      <c r="IXN23" s="12"/>
      <c r="IXO23" s="12"/>
      <c r="IXP23" s="12"/>
      <c r="IXQ23" s="12"/>
      <c r="IXR23" s="12"/>
      <c r="IXS23" s="12"/>
      <c r="IXT23" s="12"/>
      <c r="IXU23" s="12"/>
      <c r="IXV23" s="12"/>
      <c r="IXW23" s="12"/>
      <c r="IXX23" s="12"/>
      <c r="IXY23" s="12"/>
      <c r="IXZ23" s="12"/>
      <c r="IYA23" s="12"/>
      <c r="IYB23" s="12"/>
      <c r="IYC23" s="12"/>
      <c r="IYD23" s="12"/>
      <c r="IYE23" s="12"/>
      <c r="IYF23" s="12"/>
      <c r="IYG23" s="12"/>
      <c r="IYH23" s="12"/>
      <c r="IYI23" s="12"/>
      <c r="IYJ23" s="12"/>
      <c r="IYK23" s="12"/>
      <c r="IYL23" s="12"/>
      <c r="IYM23" s="12"/>
      <c r="IYN23" s="12"/>
      <c r="IYO23" s="12"/>
      <c r="IYP23" s="12"/>
      <c r="IYQ23" s="12"/>
      <c r="IYR23" s="12"/>
      <c r="IYS23" s="12"/>
      <c r="IYT23" s="12"/>
      <c r="IYU23" s="12"/>
      <c r="IYV23" s="12"/>
      <c r="IYW23" s="12"/>
      <c r="IYX23" s="12"/>
      <c r="IYY23" s="12"/>
      <c r="IYZ23" s="12"/>
      <c r="IZA23" s="12"/>
      <c r="IZB23" s="12"/>
      <c r="IZC23" s="12"/>
      <c r="IZD23" s="12"/>
      <c r="IZE23" s="12"/>
      <c r="IZF23" s="12"/>
      <c r="IZG23" s="12"/>
      <c r="IZH23" s="12"/>
      <c r="IZI23" s="12"/>
      <c r="IZJ23" s="12"/>
      <c r="IZK23" s="12"/>
      <c r="IZL23" s="12"/>
      <c r="IZM23" s="12"/>
      <c r="IZN23" s="12"/>
      <c r="IZO23" s="12"/>
      <c r="IZP23" s="12"/>
      <c r="IZQ23" s="12"/>
      <c r="IZR23" s="12"/>
      <c r="IZS23" s="12"/>
      <c r="IZT23" s="12"/>
      <c r="IZU23" s="12"/>
      <c r="IZV23" s="12"/>
      <c r="IZW23" s="12"/>
      <c r="IZX23" s="12"/>
      <c r="IZY23" s="12"/>
      <c r="IZZ23" s="12"/>
      <c r="JAA23" s="12"/>
      <c r="JAB23" s="12"/>
      <c r="JAC23" s="12"/>
      <c r="JAD23" s="12"/>
      <c r="JAE23" s="12"/>
      <c r="JAF23" s="12"/>
      <c r="JAG23" s="12"/>
      <c r="JAH23" s="12"/>
      <c r="JAI23" s="12"/>
      <c r="JAJ23" s="12"/>
      <c r="JAK23" s="12"/>
      <c r="JAL23" s="12"/>
      <c r="JAM23" s="12"/>
      <c r="JAN23" s="12"/>
      <c r="JAO23" s="12"/>
      <c r="JAP23" s="12"/>
      <c r="JAQ23" s="12"/>
      <c r="JAR23" s="12"/>
      <c r="JAS23" s="12"/>
      <c r="JAT23" s="12"/>
      <c r="JAU23" s="12"/>
      <c r="JAV23" s="12"/>
      <c r="JAW23" s="12"/>
      <c r="JAX23" s="12"/>
      <c r="JAY23" s="12"/>
      <c r="JAZ23" s="12"/>
      <c r="JBA23" s="12"/>
      <c r="JBB23" s="12"/>
      <c r="JBC23" s="12"/>
      <c r="JBD23" s="12"/>
      <c r="JBE23" s="12"/>
      <c r="JBF23" s="12"/>
      <c r="JBG23" s="12"/>
      <c r="JBH23" s="12"/>
      <c r="JBI23" s="12"/>
      <c r="JBJ23" s="12"/>
      <c r="JBK23" s="12"/>
      <c r="JBL23" s="12"/>
      <c r="JBM23" s="12"/>
      <c r="JBN23" s="12"/>
      <c r="JBO23" s="12"/>
      <c r="JBP23" s="12"/>
      <c r="JBQ23" s="12"/>
      <c r="JBR23" s="12"/>
      <c r="JBS23" s="12"/>
      <c r="JBT23" s="12"/>
      <c r="JBU23" s="12"/>
      <c r="JBV23" s="12"/>
      <c r="JBW23" s="12"/>
      <c r="JBX23" s="12"/>
      <c r="JBY23" s="12"/>
      <c r="JBZ23" s="12"/>
      <c r="JCA23" s="12"/>
      <c r="JCB23" s="12"/>
      <c r="JCC23" s="12"/>
      <c r="JCD23" s="12"/>
      <c r="JCE23" s="12"/>
      <c r="JCF23" s="12"/>
      <c r="JCG23" s="12"/>
      <c r="JCH23" s="12"/>
      <c r="JCI23" s="12"/>
      <c r="JCJ23" s="12"/>
      <c r="JCK23" s="12"/>
      <c r="JCL23" s="12"/>
      <c r="JCM23" s="12"/>
      <c r="JCN23" s="12"/>
      <c r="JCO23" s="12"/>
      <c r="JCP23" s="12"/>
      <c r="JCQ23" s="12"/>
      <c r="JCR23" s="12"/>
      <c r="JCS23" s="12"/>
      <c r="JCT23" s="12"/>
      <c r="JCU23" s="12"/>
      <c r="JCV23" s="12"/>
      <c r="JCW23" s="12"/>
      <c r="JCX23" s="12"/>
      <c r="JCY23" s="12"/>
      <c r="JCZ23" s="12"/>
      <c r="JDA23" s="12"/>
      <c r="JDB23" s="12"/>
      <c r="JDC23" s="12"/>
      <c r="JDD23" s="12"/>
      <c r="JDE23" s="12"/>
      <c r="JDF23" s="12"/>
      <c r="JDG23" s="12"/>
      <c r="JDH23" s="12"/>
      <c r="JDI23" s="12"/>
      <c r="JDJ23" s="12"/>
      <c r="JDK23" s="12"/>
      <c r="JDL23" s="12"/>
      <c r="JDM23" s="12"/>
      <c r="JDN23" s="12"/>
      <c r="JDO23" s="12"/>
      <c r="JDP23" s="12"/>
      <c r="JDQ23" s="12"/>
      <c r="JDR23" s="12"/>
      <c r="JDS23" s="12"/>
      <c r="JDT23" s="12"/>
      <c r="JDU23" s="12"/>
      <c r="JDV23" s="12"/>
      <c r="JDW23" s="12"/>
      <c r="JDX23" s="12"/>
      <c r="JDY23" s="12"/>
      <c r="JDZ23" s="12"/>
      <c r="JEA23" s="12"/>
      <c r="JEB23" s="12"/>
      <c r="JEC23" s="12"/>
      <c r="JED23" s="12"/>
      <c r="JEE23" s="12"/>
      <c r="JEF23" s="12"/>
      <c r="JEG23" s="12"/>
      <c r="JEH23" s="12"/>
      <c r="JEI23" s="12"/>
      <c r="JEJ23" s="12"/>
      <c r="JEK23" s="12"/>
      <c r="JEL23" s="12"/>
      <c r="JEM23" s="12"/>
      <c r="JEN23" s="12"/>
      <c r="JEO23" s="12"/>
      <c r="JEP23" s="12"/>
      <c r="JEQ23" s="12"/>
      <c r="JER23" s="12"/>
      <c r="JES23" s="12"/>
      <c r="JET23" s="12"/>
      <c r="JEU23" s="12"/>
      <c r="JEV23" s="12"/>
      <c r="JEW23" s="12"/>
      <c r="JEX23" s="12"/>
      <c r="JEY23" s="12"/>
      <c r="JEZ23" s="12"/>
      <c r="JFA23" s="12"/>
      <c r="JFB23" s="12"/>
      <c r="JFC23" s="12"/>
      <c r="JFD23" s="12"/>
      <c r="JFE23" s="12"/>
      <c r="JFF23" s="12"/>
      <c r="JFG23" s="12"/>
      <c r="JFH23" s="12"/>
      <c r="JFI23" s="12"/>
      <c r="JFJ23" s="12"/>
      <c r="JFK23" s="12"/>
      <c r="JFL23" s="12"/>
      <c r="JFM23" s="12"/>
      <c r="JFN23" s="12"/>
      <c r="JFO23" s="12"/>
      <c r="JFP23" s="12"/>
      <c r="JFQ23" s="12"/>
      <c r="JFR23" s="12"/>
      <c r="JFS23" s="12"/>
      <c r="JFT23" s="12"/>
      <c r="JFU23" s="12"/>
      <c r="JFV23" s="12"/>
      <c r="JFW23" s="12"/>
      <c r="JFX23" s="12"/>
      <c r="JFY23" s="12"/>
      <c r="JFZ23" s="12"/>
      <c r="JGA23" s="12"/>
      <c r="JGB23" s="12"/>
      <c r="JGC23" s="12"/>
      <c r="JGD23" s="12"/>
      <c r="JGE23" s="12"/>
      <c r="JGF23" s="12"/>
      <c r="JGG23" s="12"/>
      <c r="JGH23" s="12"/>
      <c r="JGI23" s="12"/>
      <c r="JGJ23" s="12"/>
      <c r="JGK23" s="12"/>
      <c r="JGL23" s="12"/>
      <c r="JGM23" s="12"/>
      <c r="JGN23" s="12"/>
      <c r="JGO23" s="12"/>
      <c r="JGP23" s="12"/>
      <c r="JGQ23" s="12"/>
      <c r="JGR23" s="12"/>
      <c r="JGS23" s="12"/>
      <c r="JGT23" s="12"/>
      <c r="JGU23" s="12"/>
      <c r="JGV23" s="12"/>
      <c r="JGW23" s="12"/>
      <c r="JGX23" s="12"/>
      <c r="JGY23" s="12"/>
      <c r="JGZ23" s="12"/>
      <c r="JHA23" s="12"/>
      <c r="JHB23" s="12"/>
      <c r="JHC23" s="12"/>
      <c r="JHD23" s="12"/>
      <c r="JHE23" s="12"/>
      <c r="JHF23" s="12"/>
      <c r="JHG23" s="12"/>
      <c r="JHH23" s="12"/>
      <c r="JHI23" s="12"/>
      <c r="JHJ23" s="12"/>
      <c r="JHK23" s="12"/>
      <c r="JHL23" s="12"/>
      <c r="JHM23" s="12"/>
      <c r="JHN23" s="12"/>
      <c r="JHO23" s="12"/>
      <c r="JHP23" s="12"/>
      <c r="JHQ23" s="12"/>
      <c r="JHR23" s="12"/>
      <c r="JHS23" s="12"/>
      <c r="JHT23" s="12"/>
      <c r="JHU23" s="12"/>
      <c r="JHV23" s="12"/>
      <c r="JHW23" s="12"/>
      <c r="JHX23" s="12"/>
      <c r="JHY23" s="12"/>
      <c r="JHZ23" s="12"/>
      <c r="JIA23" s="12"/>
      <c r="JIB23" s="12"/>
      <c r="JIC23" s="12"/>
      <c r="JID23" s="12"/>
      <c r="JIE23" s="12"/>
      <c r="JIF23" s="12"/>
      <c r="JIG23" s="12"/>
      <c r="JIH23" s="12"/>
      <c r="JII23" s="12"/>
      <c r="JIJ23" s="12"/>
      <c r="JIK23" s="12"/>
      <c r="JIL23" s="12"/>
      <c r="JIM23" s="12"/>
      <c r="JIN23" s="12"/>
      <c r="JIO23" s="12"/>
      <c r="JIP23" s="12"/>
      <c r="JIQ23" s="12"/>
      <c r="JIR23" s="12"/>
      <c r="JIS23" s="12"/>
      <c r="JIT23" s="12"/>
      <c r="JIU23" s="12"/>
      <c r="JIV23" s="12"/>
      <c r="JIW23" s="12"/>
      <c r="JIX23" s="12"/>
      <c r="JIY23" s="12"/>
      <c r="JIZ23" s="12"/>
      <c r="JJA23" s="12"/>
      <c r="JJB23" s="12"/>
      <c r="JJC23" s="12"/>
      <c r="JJD23" s="12"/>
      <c r="JJE23" s="12"/>
      <c r="JJF23" s="12"/>
      <c r="JJG23" s="12"/>
      <c r="JJH23" s="12"/>
      <c r="JJI23" s="12"/>
      <c r="JJJ23" s="12"/>
      <c r="JJK23" s="12"/>
      <c r="JJL23" s="12"/>
      <c r="JJM23" s="12"/>
      <c r="JJN23" s="12"/>
      <c r="JJO23" s="12"/>
      <c r="JJP23" s="12"/>
      <c r="JJQ23" s="12"/>
      <c r="JJR23" s="12"/>
      <c r="JJS23" s="12"/>
      <c r="JJT23" s="12"/>
      <c r="JJU23" s="12"/>
      <c r="JJV23" s="12"/>
      <c r="JJW23" s="12"/>
      <c r="JJX23" s="12"/>
      <c r="JJY23" s="12"/>
      <c r="JJZ23" s="12"/>
      <c r="JKA23" s="12"/>
      <c r="JKB23" s="12"/>
      <c r="JKC23" s="12"/>
      <c r="JKD23" s="12"/>
      <c r="JKE23" s="12"/>
      <c r="JKF23" s="12"/>
      <c r="JKG23" s="12"/>
      <c r="JKH23" s="12"/>
      <c r="JKI23" s="12"/>
      <c r="JKJ23" s="12"/>
      <c r="JKK23" s="12"/>
      <c r="JKL23" s="12"/>
      <c r="JKM23" s="12"/>
      <c r="JKN23" s="12"/>
      <c r="JKO23" s="12"/>
      <c r="JKP23" s="12"/>
      <c r="JKQ23" s="12"/>
      <c r="JKR23" s="12"/>
      <c r="JKS23" s="12"/>
      <c r="JKT23" s="12"/>
      <c r="JKU23" s="12"/>
      <c r="JKV23" s="12"/>
      <c r="JKW23" s="12"/>
      <c r="JKX23" s="12"/>
      <c r="JKY23" s="12"/>
      <c r="JKZ23" s="12"/>
      <c r="JLA23" s="12"/>
      <c r="JLB23" s="12"/>
      <c r="JLC23" s="12"/>
      <c r="JLD23" s="12"/>
      <c r="JLE23" s="12"/>
      <c r="JLF23" s="12"/>
      <c r="JLG23" s="12"/>
      <c r="JLH23" s="12"/>
      <c r="JLI23" s="12"/>
      <c r="JLJ23" s="12"/>
      <c r="JLK23" s="12"/>
      <c r="JLL23" s="12"/>
      <c r="JLM23" s="12"/>
      <c r="JLN23" s="12"/>
      <c r="JLO23" s="12"/>
      <c r="JLP23" s="12"/>
      <c r="JLQ23" s="12"/>
      <c r="JLR23" s="12"/>
      <c r="JLS23" s="12"/>
      <c r="JLT23" s="12"/>
      <c r="JLU23" s="12"/>
      <c r="JLV23" s="12"/>
      <c r="JLW23" s="12"/>
      <c r="JLX23" s="12"/>
      <c r="JLY23" s="12"/>
      <c r="JLZ23" s="12"/>
      <c r="JMA23" s="12"/>
      <c r="JMB23" s="12"/>
      <c r="JMC23" s="12"/>
      <c r="JMD23" s="12"/>
      <c r="JME23" s="12"/>
      <c r="JMF23" s="12"/>
      <c r="JMG23" s="12"/>
      <c r="JMH23" s="12"/>
      <c r="JMI23" s="12"/>
      <c r="JMJ23" s="12"/>
      <c r="JMK23" s="12"/>
      <c r="JML23" s="12"/>
      <c r="JMM23" s="12"/>
      <c r="JMN23" s="12"/>
      <c r="JMO23" s="12"/>
      <c r="JMP23" s="12"/>
      <c r="JMQ23" s="12"/>
      <c r="JMR23" s="12"/>
      <c r="JMS23" s="12"/>
      <c r="JMT23" s="12"/>
      <c r="JMU23" s="12"/>
      <c r="JMV23" s="12"/>
      <c r="JMW23" s="12"/>
      <c r="JMX23" s="12"/>
      <c r="JMY23" s="12"/>
      <c r="JMZ23" s="12"/>
      <c r="JNA23" s="12"/>
      <c r="JNB23" s="12"/>
      <c r="JNC23" s="12"/>
      <c r="JND23" s="12"/>
      <c r="JNE23" s="12"/>
      <c r="JNF23" s="12"/>
      <c r="JNG23" s="12"/>
      <c r="JNH23" s="12"/>
      <c r="JNI23" s="12"/>
      <c r="JNJ23" s="12"/>
      <c r="JNK23" s="12"/>
      <c r="JNL23" s="12"/>
      <c r="JNM23" s="12"/>
      <c r="JNN23" s="12"/>
      <c r="JNO23" s="12"/>
      <c r="JNP23" s="12"/>
      <c r="JNQ23" s="12"/>
      <c r="JNR23" s="12"/>
      <c r="JNS23" s="12"/>
      <c r="JNT23" s="12"/>
      <c r="JNU23" s="12"/>
      <c r="JNV23" s="12"/>
      <c r="JNW23" s="12"/>
      <c r="JNX23" s="12"/>
      <c r="JNY23" s="12"/>
      <c r="JNZ23" s="12"/>
      <c r="JOA23" s="12"/>
      <c r="JOB23" s="12"/>
      <c r="JOC23" s="12"/>
      <c r="JOD23" s="12"/>
      <c r="JOE23" s="12"/>
      <c r="JOF23" s="12"/>
      <c r="JOG23" s="12"/>
      <c r="JOH23" s="12"/>
      <c r="JOI23" s="12"/>
      <c r="JOJ23" s="12"/>
      <c r="JOK23" s="12"/>
      <c r="JOL23" s="12"/>
      <c r="JOM23" s="12"/>
      <c r="JON23" s="12"/>
      <c r="JOO23" s="12"/>
      <c r="JOP23" s="12"/>
      <c r="JOQ23" s="12"/>
      <c r="JOR23" s="12"/>
      <c r="JOS23" s="12"/>
      <c r="JOT23" s="12"/>
      <c r="JOU23" s="12"/>
      <c r="JOV23" s="12"/>
      <c r="JOW23" s="12"/>
      <c r="JOX23" s="12"/>
      <c r="JOY23" s="12"/>
      <c r="JOZ23" s="12"/>
      <c r="JPA23" s="12"/>
      <c r="JPB23" s="12"/>
      <c r="JPC23" s="12"/>
      <c r="JPD23" s="12"/>
      <c r="JPE23" s="12"/>
      <c r="JPF23" s="12"/>
      <c r="JPG23" s="12"/>
      <c r="JPH23" s="12"/>
      <c r="JPI23" s="12"/>
      <c r="JPJ23" s="12"/>
      <c r="JPK23" s="12"/>
      <c r="JPL23" s="12"/>
      <c r="JPM23" s="12"/>
      <c r="JPN23" s="12"/>
      <c r="JPO23" s="12"/>
      <c r="JPP23" s="12"/>
      <c r="JPQ23" s="12"/>
      <c r="JPR23" s="12"/>
      <c r="JPS23" s="12"/>
      <c r="JPT23" s="12"/>
      <c r="JPU23" s="12"/>
      <c r="JPV23" s="12"/>
      <c r="JPW23" s="12"/>
      <c r="JPX23" s="12"/>
      <c r="JPY23" s="12"/>
      <c r="JPZ23" s="12"/>
      <c r="JQA23" s="12"/>
      <c r="JQB23" s="12"/>
      <c r="JQC23" s="12"/>
      <c r="JQD23" s="12"/>
      <c r="JQE23" s="12"/>
      <c r="JQF23" s="12"/>
      <c r="JQG23" s="12"/>
      <c r="JQH23" s="12"/>
      <c r="JQI23" s="12"/>
      <c r="JQJ23" s="12"/>
      <c r="JQK23" s="12"/>
      <c r="JQL23" s="12"/>
      <c r="JQM23" s="12"/>
      <c r="JQN23" s="12"/>
      <c r="JQO23" s="12"/>
      <c r="JQP23" s="12"/>
      <c r="JQQ23" s="12"/>
      <c r="JQR23" s="12"/>
      <c r="JQS23" s="12"/>
      <c r="JQT23" s="12"/>
      <c r="JQU23" s="12"/>
      <c r="JQV23" s="12"/>
      <c r="JQW23" s="12"/>
      <c r="JQX23" s="12"/>
      <c r="JQY23" s="12"/>
      <c r="JQZ23" s="12"/>
      <c r="JRA23" s="12"/>
      <c r="JRB23" s="12"/>
      <c r="JRC23" s="12"/>
      <c r="JRD23" s="12"/>
      <c r="JRE23" s="12"/>
      <c r="JRF23" s="12"/>
      <c r="JRG23" s="12"/>
      <c r="JRH23" s="12"/>
      <c r="JRI23" s="12"/>
      <c r="JRJ23" s="12"/>
      <c r="JRK23" s="12"/>
      <c r="JRL23" s="12"/>
      <c r="JRM23" s="12"/>
      <c r="JRN23" s="12"/>
      <c r="JRO23" s="12"/>
      <c r="JRP23" s="12"/>
      <c r="JRQ23" s="12"/>
      <c r="JRR23" s="12"/>
      <c r="JRS23" s="12"/>
      <c r="JRT23" s="12"/>
      <c r="JRU23" s="12"/>
      <c r="JRV23" s="12"/>
      <c r="JRW23" s="12"/>
      <c r="JRX23" s="12"/>
      <c r="JRY23" s="12"/>
      <c r="JRZ23" s="12"/>
      <c r="JSA23" s="12"/>
      <c r="JSB23" s="12"/>
      <c r="JSC23" s="12"/>
      <c r="JSD23" s="12"/>
      <c r="JSE23" s="12"/>
      <c r="JSF23" s="12"/>
      <c r="JSG23" s="12"/>
      <c r="JSH23" s="12"/>
      <c r="JSI23" s="12"/>
      <c r="JSJ23" s="12"/>
      <c r="JSK23" s="12"/>
      <c r="JSL23" s="12"/>
      <c r="JSM23" s="12"/>
      <c r="JSN23" s="12"/>
      <c r="JSO23" s="12"/>
      <c r="JSP23" s="12"/>
      <c r="JSQ23" s="12"/>
      <c r="JSR23" s="12"/>
      <c r="JSS23" s="12"/>
      <c r="JST23" s="12"/>
      <c r="JSU23" s="12"/>
      <c r="JSV23" s="12"/>
      <c r="JSW23" s="12"/>
      <c r="JSX23" s="12"/>
      <c r="JSY23" s="12"/>
      <c r="JSZ23" s="12"/>
      <c r="JTA23" s="12"/>
      <c r="JTB23" s="12"/>
      <c r="JTC23" s="12"/>
      <c r="JTD23" s="12"/>
      <c r="JTE23" s="12"/>
      <c r="JTF23" s="12"/>
      <c r="JTG23" s="12"/>
      <c r="JTH23" s="12"/>
      <c r="JTI23" s="12"/>
      <c r="JTJ23" s="12"/>
      <c r="JTK23" s="12"/>
      <c r="JTL23" s="12"/>
      <c r="JTM23" s="12"/>
      <c r="JTN23" s="12"/>
      <c r="JTO23" s="12"/>
      <c r="JTP23" s="12"/>
      <c r="JTQ23" s="12"/>
      <c r="JTR23" s="12"/>
      <c r="JTS23" s="12"/>
      <c r="JTT23" s="12"/>
      <c r="JTU23" s="12"/>
      <c r="JTV23" s="12"/>
      <c r="JTW23" s="12"/>
      <c r="JTX23" s="12"/>
      <c r="JTY23" s="12"/>
      <c r="JTZ23" s="12"/>
      <c r="JUA23" s="12"/>
      <c r="JUB23" s="12"/>
      <c r="JUC23" s="12"/>
      <c r="JUD23" s="12"/>
      <c r="JUE23" s="12"/>
      <c r="JUF23" s="12"/>
      <c r="JUG23" s="12"/>
      <c r="JUH23" s="12"/>
      <c r="JUI23" s="12"/>
      <c r="JUJ23" s="12"/>
      <c r="JUK23" s="12"/>
      <c r="JUL23" s="12"/>
      <c r="JUM23" s="12"/>
      <c r="JUN23" s="12"/>
      <c r="JUO23" s="12"/>
      <c r="JUP23" s="12"/>
      <c r="JUQ23" s="12"/>
      <c r="JUR23" s="12"/>
      <c r="JUS23" s="12"/>
      <c r="JUT23" s="12"/>
      <c r="JUU23" s="12"/>
      <c r="JUV23" s="12"/>
      <c r="JUW23" s="12"/>
      <c r="JUX23" s="12"/>
      <c r="JUY23" s="12"/>
      <c r="JUZ23" s="12"/>
      <c r="JVA23" s="12"/>
      <c r="JVB23" s="12"/>
      <c r="JVC23" s="12"/>
      <c r="JVD23" s="12"/>
      <c r="JVE23" s="12"/>
      <c r="JVF23" s="12"/>
      <c r="JVG23" s="12"/>
      <c r="JVH23" s="12"/>
      <c r="JVI23" s="12"/>
      <c r="JVJ23" s="12"/>
      <c r="JVK23" s="12"/>
      <c r="JVL23" s="12"/>
      <c r="JVM23" s="12"/>
      <c r="JVN23" s="12"/>
      <c r="JVO23" s="12"/>
      <c r="JVP23" s="12"/>
      <c r="JVQ23" s="12"/>
      <c r="JVR23" s="12"/>
      <c r="JVS23" s="12"/>
      <c r="JVT23" s="12"/>
      <c r="JVU23" s="12"/>
      <c r="JVV23" s="12"/>
      <c r="JVW23" s="12"/>
      <c r="JVX23" s="12"/>
      <c r="JVY23" s="12"/>
      <c r="JVZ23" s="12"/>
      <c r="JWA23" s="12"/>
      <c r="JWB23" s="12"/>
      <c r="JWC23" s="12"/>
      <c r="JWD23" s="12"/>
      <c r="JWE23" s="12"/>
      <c r="JWF23" s="12"/>
      <c r="JWG23" s="12"/>
      <c r="JWH23" s="12"/>
      <c r="JWI23" s="12"/>
      <c r="JWJ23" s="12"/>
      <c r="JWK23" s="12"/>
      <c r="JWL23" s="12"/>
      <c r="JWM23" s="12"/>
      <c r="JWN23" s="12"/>
      <c r="JWO23" s="12"/>
      <c r="JWP23" s="12"/>
      <c r="JWQ23" s="12"/>
      <c r="JWR23" s="12"/>
      <c r="JWS23" s="12"/>
      <c r="JWT23" s="12"/>
      <c r="JWU23" s="12"/>
      <c r="JWV23" s="12"/>
      <c r="JWW23" s="12"/>
      <c r="JWX23" s="12"/>
      <c r="JWY23" s="12"/>
      <c r="JWZ23" s="12"/>
      <c r="JXA23" s="12"/>
      <c r="JXB23" s="12"/>
      <c r="JXC23" s="12"/>
      <c r="JXD23" s="12"/>
      <c r="JXE23" s="12"/>
      <c r="JXF23" s="12"/>
      <c r="JXG23" s="12"/>
      <c r="JXH23" s="12"/>
      <c r="JXI23" s="12"/>
      <c r="JXJ23" s="12"/>
      <c r="JXK23" s="12"/>
      <c r="JXL23" s="12"/>
      <c r="JXM23" s="12"/>
      <c r="JXN23" s="12"/>
      <c r="JXO23" s="12"/>
      <c r="JXP23" s="12"/>
      <c r="JXQ23" s="12"/>
      <c r="JXR23" s="12"/>
      <c r="JXS23" s="12"/>
      <c r="JXT23" s="12"/>
      <c r="JXU23" s="12"/>
      <c r="JXV23" s="12"/>
      <c r="JXW23" s="12"/>
      <c r="JXX23" s="12"/>
      <c r="JXY23" s="12"/>
      <c r="JXZ23" s="12"/>
      <c r="JYA23" s="12"/>
      <c r="JYB23" s="12"/>
      <c r="JYC23" s="12"/>
      <c r="JYD23" s="12"/>
      <c r="JYE23" s="12"/>
      <c r="JYF23" s="12"/>
      <c r="JYG23" s="12"/>
      <c r="JYH23" s="12"/>
      <c r="JYI23" s="12"/>
      <c r="JYJ23" s="12"/>
      <c r="JYK23" s="12"/>
      <c r="JYL23" s="12"/>
      <c r="JYM23" s="12"/>
      <c r="JYN23" s="12"/>
      <c r="JYO23" s="12"/>
      <c r="JYP23" s="12"/>
      <c r="JYQ23" s="12"/>
      <c r="JYR23" s="12"/>
      <c r="JYS23" s="12"/>
      <c r="JYT23" s="12"/>
      <c r="JYU23" s="12"/>
      <c r="JYV23" s="12"/>
      <c r="JYW23" s="12"/>
      <c r="JYX23" s="12"/>
      <c r="JYY23" s="12"/>
      <c r="JYZ23" s="12"/>
      <c r="JZA23" s="12"/>
      <c r="JZB23" s="12"/>
      <c r="JZC23" s="12"/>
      <c r="JZD23" s="12"/>
      <c r="JZE23" s="12"/>
      <c r="JZF23" s="12"/>
      <c r="JZG23" s="12"/>
      <c r="JZH23" s="12"/>
      <c r="JZI23" s="12"/>
      <c r="JZJ23" s="12"/>
      <c r="JZK23" s="12"/>
      <c r="JZL23" s="12"/>
      <c r="JZM23" s="12"/>
      <c r="JZN23" s="12"/>
      <c r="JZO23" s="12"/>
      <c r="JZP23" s="12"/>
      <c r="JZQ23" s="12"/>
      <c r="JZR23" s="12"/>
      <c r="JZS23" s="12"/>
      <c r="JZT23" s="12"/>
      <c r="JZU23" s="12"/>
      <c r="JZV23" s="12"/>
      <c r="JZW23" s="12"/>
      <c r="JZX23" s="12"/>
      <c r="JZY23" s="12"/>
      <c r="JZZ23" s="12"/>
      <c r="KAA23" s="12"/>
      <c r="KAB23" s="12"/>
      <c r="KAC23" s="12"/>
      <c r="KAD23" s="12"/>
      <c r="KAE23" s="12"/>
      <c r="KAF23" s="12"/>
      <c r="KAG23" s="12"/>
      <c r="KAH23" s="12"/>
      <c r="KAI23" s="12"/>
      <c r="KAJ23" s="12"/>
      <c r="KAK23" s="12"/>
      <c r="KAL23" s="12"/>
      <c r="KAM23" s="12"/>
      <c r="KAN23" s="12"/>
      <c r="KAO23" s="12"/>
      <c r="KAP23" s="12"/>
      <c r="KAQ23" s="12"/>
      <c r="KAR23" s="12"/>
      <c r="KAS23" s="12"/>
      <c r="KAT23" s="12"/>
      <c r="KAU23" s="12"/>
      <c r="KAV23" s="12"/>
      <c r="KAW23" s="12"/>
      <c r="KAX23" s="12"/>
      <c r="KAY23" s="12"/>
      <c r="KAZ23" s="12"/>
      <c r="KBA23" s="12"/>
      <c r="KBB23" s="12"/>
      <c r="KBC23" s="12"/>
      <c r="KBD23" s="12"/>
      <c r="KBE23" s="12"/>
      <c r="KBF23" s="12"/>
      <c r="KBG23" s="12"/>
      <c r="KBH23" s="12"/>
      <c r="KBI23" s="12"/>
      <c r="KBJ23" s="12"/>
      <c r="KBK23" s="12"/>
      <c r="KBL23" s="12"/>
      <c r="KBM23" s="12"/>
      <c r="KBN23" s="12"/>
      <c r="KBO23" s="12"/>
      <c r="KBP23" s="12"/>
      <c r="KBQ23" s="12"/>
      <c r="KBR23" s="12"/>
      <c r="KBS23" s="12"/>
      <c r="KBT23" s="12"/>
      <c r="KBU23" s="12"/>
      <c r="KBV23" s="12"/>
      <c r="KBW23" s="12"/>
      <c r="KBX23" s="12"/>
      <c r="KBY23" s="12"/>
      <c r="KBZ23" s="12"/>
      <c r="KCA23" s="12"/>
      <c r="KCB23" s="12"/>
      <c r="KCC23" s="12"/>
      <c r="KCD23" s="12"/>
      <c r="KCE23" s="12"/>
      <c r="KCF23" s="12"/>
      <c r="KCG23" s="12"/>
      <c r="KCH23" s="12"/>
      <c r="KCI23" s="12"/>
      <c r="KCJ23" s="12"/>
      <c r="KCK23" s="12"/>
      <c r="KCL23" s="12"/>
      <c r="KCM23" s="12"/>
      <c r="KCN23" s="12"/>
      <c r="KCO23" s="12"/>
      <c r="KCP23" s="12"/>
      <c r="KCQ23" s="12"/>
      <c r="KCR23" s="12"/>
      <c r="KCS23" s="12"/>
      <c r="KCT23" s="12"/>
      <c r="KCU23" s="12"/>
      <c r="KCV23" s="12"/>
      <c r="KCW23" s="12"/>
      <c r="KCX23" s="12"/>
      <c r="KCY23" s="12"/>
      <c r="KCZ23" s="12"/>
      <c r="KDA23" s="12"/>
      <c r="KDB23" s="12"/>
      <c r="KDC23" s="12"/>
      <c r="KDD23" s="12"/>
      <c r="KDE23" s="12"/>
      <c r="KDF23" s="12"/>
      <c r="KDG23" s="12"/>
      <c r="KDH23" s="12"/>
      <c r="KDI23" s="12"/>
      <c r="KDJ23" s="12"/>
      <c r="KDK23" s="12"/>
      <c r="KDL23" s="12"/>
      <c r="KDM23" s="12"/>
      <c r="KDN23" s="12"/>
      <c r="KDO23" s="12"/>
      <c r="KDP23" s="12"/>
      <c r="KDQ23" s="12"/>
      <c r="KDR23" s="12"/>
      <c r="KDS23" s="12"/>
      <c r="KDT23" s="12"/>
      <c r="KDU23" s="12"/>
      <c r="KDV23" s="12"/>
      <c r="KDW23" s="12"/>
      <c r="KDX23" s="12"/>
      <c r="KDY23" s="12"/>
      <c r="KDZ23" s="12"/>
      <c r="KEA23" s="12"/>
      <c r="KEB23" s="12"/>
      <c r="KEC23" s="12"/>
      <c r="KED23" s="12"/>
      <c r="KEE23" s="12"/>
      <c r="KEF23" s="12"/>
      <c r="KEG23" s="12"/>
      <c r="KEH23" s="12"/>
      <c r="KEI23" s="12"/>
      <c r="KEJ23" s="12"/>
      <c r="KEK23" s="12"/>
      <c r="KEL23" s="12"/>
      <c r="KEM23" s="12"/>
      <c r="KEN23" s="12"/>
      <c r="KEO23" s="12"/>
      <c r="KEP23" s="12"/>
      <c r="KEQ23" s="12"/>
      <c r="KER23" s="12"/>
      <c r="KES23" s="12"/>
      <c r="KET23" s="12"/>
      <c r="KEU23" s="12"/>
      <c r="KEV23" s="12"/>
      <c r="KEW23" s="12"/>
      <c r="KEX23" s="12"/>
      <c r="KEY23" s="12"/>
      <c r="KEZ23" s="12"/>
      <c r="KFA23" s="12"/>
      <c r="KFB23" s="12"/>
      <c r="KFC23" s="12"/>
      <c r="KFD23" s="12"/>
      <c r="KFE23" s="12"/>
      <c r="KFF23" s="12"/>
      <c r="KFG23" s="12"/>
      <c r="KFH23" s="12"/>
      <c r="KFI23" s="12"/>
      <c r="KFJ23" s="12"/>
      <c r="KFK23" s="12"/>
      <c r="KFL23" s="12"/>
      <c r="KFM23" s="12"/>
      <c r="KFN23" s="12"/>
      <c r="KFO23" s="12"/>
      <c r="KFP23" s="12"/>
      <c r="KFQ23" s="12"/>
      <c r="KFR23" s="12"/>
      <c r="KFS23" s="12"/>
      <c r="KFT23" s="12"/>
      <c r="KFU23" s="12"/>
      <c r="KFV23" s="12"/>
      <c r="KFW23" s="12"/>
      <c r="KFX23" s="12"/>
      <c r="KFY23" s="12"/>
      <c r="KFZ23" s="12"/>
      <c r="KGA23" s="12"/>
      <c r="KGB23" s="12"/>
      <c r="KGC23" s="12"/>
      <c r="KGD23" s="12"/>
      <c r="KGE23" s="12"/>
      <c r="KGF23" s="12"/>
      <c r="KGG23" s="12"/>
      <c r="KGH23" s="12"/>
      <c r="KGI23" s="12"/>
      <c r="KGJ23" s="12"/>
      <c r="KGK23" s="12"/>
      <c r="KGL23" s="12"/>
      <c r="KGM23" s="12"/>
      <c r="KGN23" s="12"/>
      <c r="KGO23" s="12"/>
      <c r="KGP23" s="12"/>
      <c r="KGQ23" s="12"/>
      <c r="KGR23" s="12"/>
      <c r="KGS23" s="12"/>
      <c r="KGT23" s="12"/>
      <c r="KGU23" s="12"/>
      <c r="KGV23" s="12"/>
      <c r="KGW23" s="12"/>
      <c r="KGX23" s="12"/>
      <c r="KGY23" s="12"/>
      <c r="KGZ23" s="12"/>
      <c r="KHA23" s="12"/>
      <c r="KHB23" s="12"/>
      <c r="KHC23" s="12"/>
      <c r="KHD23" s="12"/>
      <c r="KHE23" s="12"/>
      <c r="KHF23" s="12"/>
      <c r="KHG23" s="12"/>
      <c r="KHH23" s="12"/>
      <c r="KHI23" s="12"/>
      <c r="KHJ23" s="12"/>
      <c r="KHK23" s="12"/>
      <c r="KHL23" s="12"/>
      <c r="KHM23" s="12"/>
      <c r="KHN23" s="12"/>
      <c r="KHO23" s="12"/>
      <c r="KHP23" s="12"/>
      <c r="KHQ23" s="12"/>
      <c r="KHR23" s="12"/>
      <c r="KHS23" s="12"/>
      <c r="KHT23" s="12"/>
      <c r="KHU23" s="12"/>
      <c r="KHV23" s="12"/>
      <c r="KHW23" s="12"/>
      <c r="KHX23" s="12"/>
      <c r="KHY23" s="12"/>
      <c r="KHZ23" s="12"/>
      <c r="KIA23" s="12"/>
      <c r="KIB23" s="12"/>
      <c r="KIC23" s="12"/>
      <c r="KID23" s="12"/>
      <c r="KIE23" s="12"/>
      <c r="KIF23" s="12"/>
      <c r="KIG23" s="12"/>
      <c r="KIH23" s="12"/>
      <c r="KII23" s="12"/>
      <c r="KIJ23" s="12"/>
      <c r="KIK23" s="12"/>
      <c r="KIL23" s="12"/>
      <c r="KIM23" s="12"/>
      <c r="KIN23" s="12"/>
      <c r="KIO23" s="12"/>
      <c r="KIP23" s="12"/>
      <c r="KIQ23" s="12"/>
      <c r="KIR23" s="12"/>
      <c r="KIS23" s="12"/>
      <c r="KIT23" s="12"/>
      <c r="KIU23" s="12"/>
      <c r="KIV23" s="12"/>
      <c r="KIW23" s="12"/>
      <c r="KIX23" s="12"/>
      <c r="KIY23" s="12"/>
      <c r="KIZ23" s="12"/>
      <c r="KJA23" s="12"/>
      <c r="KJB23" s="12"/>
      <c r="KJC23" s="12"/>
      <c r="KJD23" s="12"/>
      <c r="KJE23" s="12"/>
      <c r="KJF23" s="12"/>
      <c r="KJG23" s="12"/>
      <c r="KJH23" s="12"/>
      <c r="KJI23" s="12"/>
      <c r="KJJ23" s="12"/>
      <c r="KJK23" s="12"/>
      <c r="KJL23" s="12"/>
      <c r="KJM23" s="12"/>
      <c r="KJN23" s="12"/>
      <c r="KJO23" s="12"/>
      <c r="KJP23" s="12"/>
      <c r="KJQ23" s="12"/>
      <c r="KJR23" s="12"/>
      <c r="KJS23" s="12"/>
      <c r="KJT23" s="12"/>
      <c r="KJU23" s="12"/>
      <c r="KJV23" s="12"/>
      <c r="KJW23" s="12"/>
      <c r="KJX23" s="12"/>
      <c r="KJY23" s="12"/>
      <c r="KJZ23" s="12"/>
      <c r="KKA23" s="12"/>
      <c r="KKB23" s="12"/>
      <c r="KKC23" s="12"/>
      <c r="KKD23" s="12"/>
      <c r="KKE23" s="12"/>
      <c r="KKF23" s="12"/>
      <c r="KKG23" s="12"/>
      <c r="KKH23" s="12"/>
      <c r="KKI23" s="12"/>
      <c r="KKJ23" s="12"/>
      <c r="KKK23" s="12"/>
      <c r="KKL23" s="12"/>
      <c r="KKM23" s="12"/>
      <c r="KKN23" s="12"/>
      <c r="KKO23" s="12"/>
      <c r="KKP23" s="12"/>
      <c r="KKQ23" s="12"/>
      <c r="KKR23" s="12"/>
      <c r="KKS23" s="12"/>
      <c r="KKT23" s="12"/>
      <c r="KKU23" s="12"/>
      <c r="KKV23" s="12"/>
      <c r="KKW23" s="12"/>
      <c r="KKX23" s="12"/>
      <c r="KKY23" s="12"/>
      <c r="KKZ23" s="12"/>
      <c r="KLA23" s="12"/>
      <c r="KLB23" s="12"/>
      <c r="KLC23" s="12"/>
      <c r="KLD23" s="12"/>
      <c r="KLE23" s="12"/>
      <c r="KLF23" s="12"/>
      <c r="KLG23" s="12"/>
      <c r="KLH23" s="12"/>
      <c r="KLI23" s="12"/>
      <c r="KLJ23" s="12"/>
      <c r="KLK23" s="12"/>
      <c r="KLL23" s="12"/>
      <c r="KLM23" s="12"/>
      <c r="KLN23" s="12"/>
      <c r="KLO23" s="12"/>
      <c r="KLP23" s="12"/>
      <c r="KLQ23" s="12"/>
      <c r="KLR23" s="12"/>
      <c r="KLS23" s="12"/>
      <c r="KLT23" s="12"/>
      <c r="KLU23" s="12"/>
      <c r="KLV23" s="12"/>
      <c r="KLW23" s="12"/>
      <c r="KLX23" s="12"/>
      <c r="KLY23" s="12"/>
      <c r="KLZ23" s="12"/>
      <c r="KMA23" s="12"/>
      <c r="KMB23" s="12"/>
      <c r="KMC23" s="12"/>
      <c r="KMD23" s="12"/>
      <c r="KME23" s="12"/>
      <c r="KMF23" s="12"/>
      <c r="KMG23" s="12"/>
      <c r="KMH23" s="12"/>
      <c r="KMI23" s="12"/>
      <c r="KMJ23" s="12"/>
      <c r="KMK23" s="12"/>
      <c r="KML23" s="12"/>
      <c r="KMM23" s="12"/>
      <c r="KMN23" s="12"/>
      <c r="KMO23" s="12"/>
      <c r="KMP23" s="12"/>
      <c r="KMQ23" s="12"/>
      <c r="KMR23" s="12"/>
      <c r="KMS23" s="12"/>
      <c r="KMT23" s="12"/>
      <c r="KMU23" s="12"/>
      <c r="KMV23" s="12"/>
      <c r="KMW23" s="12"/>
      <c r="KMX23" s="12"/>
      <c r="KMY23" s="12"/>
      <c r="KMZ23" s="12"/>
      <c r="KNA23" s="12"/>
      <c r="KNB23" s="12"/>
      <c r="KNC23" s="12"/>
      <c r="KND23" s="12"/>
      <c r="KNE23" s="12"/>
      <c r="KNF23" s="12"/>
      <c r="KNG23" s="12"/>
      <c r="KNH23" s="12"/>
      <c r="KNI23" s="12"/>
      <c r="KNJ23" s="12"/>
      <c r="KNK23" s="12"/>
      <c r="KNL23" s="12"/>
      <c r="KNM23" s="12"/>
      <c r="KNN23" s="12"/>
      <c r="KNO23" s="12"/>
      <c r="KNP23" s="12"/>
      <c r="KNQ23" s="12"/>
      <c r="KNR23" s="12"/>
      <c r="KNS23" s="12"/>
      <c r="KNT23" s="12"/>
      <c r="KNU23" s="12"/>
      <c r="KNV23" s="12"/>
      <c r="KNW23" s="12"/>
      <c r="KNX23" s="12"/>
      <c r="KNY23" s="12"/>
      <c r="KNZ23" s="12"/>
      <c r="KOA23" s="12"/>
      <c r="KOB23" s="12"/>
      <c r="KOC23" s="12"/>
      <c r="KOD23" s="12"/>
      <c r="KOE23" s="12"/>
      <c r="KOF23" s="12"/>
      <c r="KOG23" s="12"/>
      <c r="KOH23" s="12"/>
      <c r="KOI23" s="12"/>
      <c r="KOJ23" s="12"/>
      <c r="KOK23" s="12"/>
      <c r="KOL23" s="12"/>
      <c r="KOM23" s="12"/>
      <c r="KON23" s="12"/>
      <c r="KOO23" s="12"/>
      <c r="KOP23" s="12"/>
      <c r="KOQ23" s="12"/>
      <c r="KOR23" s="12"/>
      <c r="KOS23" s="12"/>
      <c r="KOT23" s="12"/>
      <c r="KOU23" s="12"/>
      <c r="KOV23" s="12"/>
      <c r="KOW23" s="12"/>
      <c r="KOX23" s="12"/>
      <c r="KOY23" s="12"/>
      <c r="KOZ23" s="12"/>
      <c r="KPA23" s="12"/>
      <c r="KPB23" s="12"/>
      <c r="KPC23" s="12"/>
      <c r="KPD23" s="12"/>
      <c r="KPE23" s="12"/>
      <c r="KPF23" s="12"/>
      <c r="KPG23" s="12"/>
      <c r="KPH23" s="12"/>
      <c r="KPI23" s="12"/>
      <c r="KPJ23" s="12"/>
      <c r="KPK23" s="12"/>
      <c r="KPL23" s="12"/>
      <c r="KPM23" s="12"/>
      <c r="KPN23" s="12"/>
      <c r="KPO23" s="12"/>
      <c r="KPP23" s="12"/>
      <c r="KPQ23" s="12"/>
      <c r="KPR23" s="12"/>
      <c r="KPS23" s="12"/>
      <c r="KPT23" s="12"/>
      <c r="KPU23" s="12"/>
      <c r="KPV23" s="12"/>
      <c r="KPW23" s="12"/>
      <c r="KPX23" s="12"/>
      <c r="KPY23" s="12"/>
      <c r="KPZ23" s="12"/>
      <c r="KQA23" s="12"/>
      <c r="KQB23" s="12"/>
      <c r="KQC23" s="12"/>
      <c r="KQD23" s="12"/>
      <c r="KQE23" s="12"/>
      <c r="KQF23" s="12"/>
      <c r="KQG23" s="12"/>
      <c r="KQH23" s="12"/>
      <c r="KQI23" s="12"/>
      <c r="KQJ23" s="12"/>
      <c r="KQK23" s="12"/>
      <c r="KQL23" s="12"/>
      <c r="KQM23" s="12"/>
      <c r="KQN23" s="12"/>
      <c r="KQO23" s="12"/>
      <c r="KQP23" s="12"/>
      <c r="KQQ23" s="12"/>
      <c r="KQR23" s="12"/>
      <c r="KQS23" s="12"/>
      <c r="KQT23" s="12"/>
      <c r="KQU23" s="12"/>
      <c r="KQV23" s="12"/>
      <c r="KQW23" s="12"/>
      <c r="KQX23" s="12"/>
      <c r="KQY23" s="12"/>
      <c r="KQZ23" s="12"/>
      <c r="KRA23" s="12"/>
      <c r="KRB23" s="12"/>
      <c r="KRC23" s="12"/>
      <c r="KRD23" s="12"/>
      <c r="KRE23" s="12"/>
      <c r="KRF23" s="12"/>
      <c r="KRG23" s="12"/>
      <c r="KRH23" s="12"/>
      <c r="KRI23" s="12"/>
      <c r="KRJ23" s="12"/>
      <c r="KRK23" s="12"/>
      <c r="KRL23" s="12"/>
      <c r="KRM23" s="12"/>
      <c r="KRN23" s="12"/>
      <c r="KRO23" s="12"/>
      <c r="KRP23" s="12"/>
      <c r="KRQ23" s="12"/>
      <c r="KRR23" s="12"/>
      <c r="KRS23" s="12"/>
      <c r="KRT23" s="12"/>
      <c r="KRU23" s="12"/>
      <c r="KRV23" s="12"/>
      <c r="KRW23" s="12"/>
      <c r="KRX23" s="12"/>
      <c r="KRY23" s="12"/>
      <c r="KRZ23" s="12"/>
      <c r="KSA23" s="12"/>
      <c r="KSB23" s="12"/>
      <c r="KSC23" s="12"/>
      <c r="KSD23" s="12"/>
      <c r="KSE23" s="12"/>
      <c r="KSF23" s="12"/>
      <c r="KSG23" s="12"/>
      <c r="KSH23" s="12"/>
      <c r="KSI23" s="12"/>
      <c r="KSJ23" s="12"/>
      <c r="KSK23" s="12"/>
      <c r="KSL23" s="12"/>
      <c r="KSM23" s="12"/>
      <c r="KSN23" s="12"/>
      <c r="KSO23" s="12"/>
      <c r="KSP23" s="12"/>
      <c r="KSQ23" s="12"/>
      <c r="KSR23" s="12"/>
      <c r="KSS23" s="12"/>
      <c r="KST23" s="12"/>
      <c r="KSU23" s="12"/>
      <c r="KSV23" s="12"/>
      <c r="KSW23" s="12"/>
      <c r="KSX23" s="12"/>
      <c r="KSY23" s="12"/>
      <c r="KSZ23" s="12"/>
      <c r="KTA23" s="12"/>
      <c r="KTB23" s="12"/>
      <c r="KTC23" s="12"/>
      <c r="KTD23" s="12"/>
      <c r="KTE23" s="12"/>
      <c r="KTF23" s="12"/>
      <c r="KTG23" s="12"/>
      <c r="KTH23" s="12"/>
      <c r="KTI23" s="12"/>
      <c r="KTJ23" s="12"/>
      <c r="KTK23" s="12"/>
      <c r="KTL23" s="12"/>
      <c r="KTM23" s="12"/>
      <c r="KTN23" s="12"/>
      <c r="KTO23" s="12"/>
      <c r="KTP23" s="12"/>
      <c r="KTQ23" s="12"/>
      <c r="KTR23" s="12"/>
      <c r="KTS23" s="12"/>
      <c r="KTT23" s="12"/>
      <c r="KTU23" s="12"/>
      <c r="KTV23" s="12"/>
      <c r="KTW23" s="12"/>
      <c r="KTX23" s="12"/>
      <c r="KTY23" s="12"/>
      <c r="KTZ23" s="12"/>
      <c r="KUA23" s="12"/>
      <c r="KUB23" s="12"/>
      <c r="KUC23" s="12"/>
      <c r="KUD23" s="12"/>
      <c r="KUE23" s="12"/>
      <c r="KUF23" s="12"/>
      <c r="KUG23" s="12"/>
      <c r="KUH23" s="12"/>
      <c r="KUI23" s="12"/>
      <c r="KUJ23" s="12"/>
      <c r="KUK23" s="12"/>
      <c r="KUL23" s="12"/>
      <c r="KUM23" s="12"/>
      <c r="KUN23" s="12"/>
      <c r="KUO23" s="12"/>
      <c r="KUP23" s="12"/>
      <c r="KUQ23" s="12"/>
      <c r="KUR23" s="12"/>
      <c r="KUS23" s="12"/>
      <c r="KUT23" s="12"/>
      <c r="KUU23" s="12"/>
      <c r="KUV23" s="12"/>
      <c r="KUW23" s="12"/>
      <c r="KUX23" s="12"/>
      <c r="KUY23" s="12"/>
      <c r="KUZ23" s="12"/>
      <c r="KVA23" s="12"/>
      <c r="KVB23" s="12"/>
      <c r="KVC23" s="12"/>
      <c r="KVD23" s="12"/>
      <c r="KVE23" s="12"/>
      <c r="KVF23" s="12"/>
      <c r="KVG23" s="12"/>
      <c r="KVH23" s="12"/>
      <c r="KVI23" s="12"/>
      <c r="KVJ23" s="12"/>
      <c r="KVK23" s="12"/>
      <c r="KVL23" s="12"/>
      <c r="KVM23" s="12"/>
      <c r="KVN23" s="12"/>
      <c r="KVO23" s="12"/>
      <c r="KVP23" s="12"/>
      <c r="KVQ23" s="12"/>
      <c r="KVR23" s="12"/>
      <c r="KVS23" s="12"/>
      <c r="KVT23" s="12"/>
      <c r="KVU23" s="12"/>
      <c r="KVV23" s="12"/>
      <c r="KVW23" s="12"/>
      <c r="KVX23" s="12"/>
      <c r="KVY23" s="12"/>
      <c r="KVZ23" s="12"/>
      <c r="KWA23" s="12"/>
      <c r="KWB23" s="12"/>
      <c r="KWC23" s="12"/>
      <c r="KWD23" s="12"/>
      <c r="KWE23" s="12"/>
      <c r="KWF23" s="12"/>
      <c r="KWG23" s="12"/>
      <c r="KWH23" s="12"/>
      <c r="KWI23" s="12"/>
      <c r="KWJ23" s="12"/>
      <c r="KWK23" s="12"/>
      <c r="KWL23" s="12"/>
      <c r="KWM23" s="12"/>
      <c r="KWN23" s="12"/>
      <c r="KWO23" s="12"/>
      <c r="KWP23" s="12"/>
      <c r="KWQ23" s="12"/>
      <c r="KWR23" s="12"/>
      <c r="KWS23" s="12"/>
      <c r="KWT23" s="12"/>
      <c r="KWU23" s="12"/>
      <c r="KWV23" s="12"/>
      <c r="KWW23" s="12"/>
      <c r="KWX23" s="12"/>
      <c r="KWY23" s="12"/>
      <c r="KWZ23" s="12"/>
      <c r="KXA23" s="12"/>
      <c r="KXB23" s="12"/>
      <c r="KXC23" s="12"/>
      <c r="KXD23" s="12"/>
      <c r="KXE23" s="12"/>
      <c r="KXF23" s="12"/>
      <c r="KXG23" s="12"/>
      <c r="KXH23" s="12"/>
      <c r="KXI23" s="12"/>
      <c r="KXJ23" s="12"/>
      <c r="KXK23" s="12"/>
      <c r="KXL23" s="12"/>
      <c r="KXM23" s="12"/>
      <c r="KXN23" s="12"/>
      <c r="KXO23" s="12"/>
      <c r="KXP23" s="12"/>
      <c r="KXQ23" s="12"/>
      <c r="KXR23" s="12"/>
      <c r="KXS23" s="12"/>
      <c r="KXT23" s="12"/>
      <c r="KXU23" s="12"/>
      <c r="KXV23" s="12"/>
      <c r="KXW23" s="12"/>
      <c r="KXX23" s="12"/>
      <c r="KXY23" s="12"/>
      <c r="KXZ23" s="12"/>
      <c r="KYA23" s="12"/>
      <c r="KYB23" s="12"/>
      <c r="KYC23" s="12"/>
      <c r="KYD23" s="12"/>
      <c r="KYE23" s="12"/>
      <c r="KYF23" s="12"/>
      <c r="KYG23" s="12"/>
      <c r="KYH23" s="12"/>
      <c r="KYI23" s="12"/>
      <c r="KYJ23" s="12"/>
      <c r="KYK23" s="12"/>
      <c r="KYL23" s="12"/>
      <c r="KYM23" s="12"/>
      <c r="KYN23" s="12"/>
      <c r="KYO23" s="12"/>
      <c r="KYP23" s="12"/>
      <c r="KYQ23" s="12"/>
      <c r="KYR23" s="12"/>
      <c r="KYS23" s="12"/>
      <c r="KYT23" s="12"/>
      <c r="KYU23" s="12"/>
      <c r="KYV23" s="12"/>
      <c r="KYW23" s="12"/>
      <c r="KYX23" s="12"/>
      <c r="KYY23" s="12"/>
      <c r="KYZ23" s="12"/>
      <c r="KZA23" s="12"/>
      <c r="KZB23" s="12"/>
      <c r="KZC23" s="12"/>
      <c r="KZD23" s="12"/>
      <c r="KZE23" s="12"/>
      <c r="KZF23" s="12"/>
      <c r="KZG23" s="12"/>
      <c r="KZH23" s="12"/>
      <c r="KZI23" s="12"/>
      <c r="KZJ23" s="12"/>
      <c r="KZK23" s="12"/>
      <c r="KZL23" s="12"/>
      <c r="KZM23" s="12"/>
      <c r="KZN23" s="12"/>
      <c r="KZO23" s="12"/>
      <c r="KZP23" s="12"/>
      <c r="KZQ23" s="12"/>
      <c r="KZR23" s="12"/>
      <c r="KZS23" s="12"/>
      <c r="KZT23" s="12"/>
      <c r="KZU23" s="12"/>
      <c r="KZV23" s="12"/>
      <c r="KZW23" s="12"/>
      <c r="KZX23" s="12"/>
      <c r="KZY23" s="12"/>
      <c r="KZZ23" s="12"/>
      <c r="LAA23" s="12"/>
      <c r="LAB23" s="12"/>
      <c r="LAC23" s="12"/>
      <c r="LAD23" s="12"/>
      <c r="LAE23" s="12"/>
      <c r="LAF23" s="12"/>
      <c r="LAG23" s="12"/>
      <c r="LAH23" s="12"/>
      <c r="LAI23" s="12"/>
      <c r="LAJ23" s="12"/>
      <c r="LAK23" s="12"/>
      <c r="LAL23" s="12"/>
      <c r="LAM23" s="12"/>
      <c r="LAN23" s="12"/>
      <c r="LAO23" s="12"/>
      <c r="LAP23" s="12"/>
      <c r="LAQ23" s="12"/>
      <c r="LAR23" s="12"/>
      <c r="LAS23" s="12"/>
      <c r="LAT23" s="12"/>
      <c r="LAU23" s="12"/>
      <c r="LAV23" s="12"/>
      <c r="LAW23" s="12"/>
      <c r="LAX23" s="12"/>
      <c r="LAY23" s="12"/>
      <c r="LAZ23" s="12"/>
      <c r="LBA23" s="12"/>
      <c r="LBB23" s="12"/>
      <c r="LBC23" s="12"/>
      <c r="LBD23" s="12"/>
      <c r="LBE23" s="12"/>
      <c r="LBF23" s="12"/>
      <c r="LBG23" s="12"/>
      <c r="LBH23" s="12"/>
      <c r="LBI23" s="12"/>
      <c r="LBJ23" s="12"/>
      <c r="LBK23" s="12"/>
      <c r="LBL23" s="12"/>
      <c r="LBM23" s="12"/>
      <c r="LBN23" s="12"/>
      <c r="LBO23" s="12"/>
      <c r="LBP23" s="12"/>
      <c r="LBQ23" s="12"/>
      <c r="LBR23" s="12"/>
      <c r="LBS23" s="12"/>
      <c r="LBT23" s="12"/>
      <c r="LBU23" s="12"/>
      <c r="LBV23" s="12"/>
      <c r="LBW23" s="12"/>
      <c r="LBX23" s="12"/>
      <c r="LBY23" s="12"/>
      <c r="LBZ23" s="12"/>
      <c r="LCA23" s="12"/>
      <c r="LCB23" s="12"/>
      <c r="LCC23" s="12"/>
      <c r="LCD23" s="12"/>
      <c r="LCE23" s="12"/>
      <c r="LCF23" s="12"/>
      <c r="LCG23" s="12"/>
      <c r="LCH23" s="12"/>
      <c r="LCI23" s="12"/>
      <c r="LCJ23" s="12"/>
      <c r="LCK23" s="12"/>
      <c r="LCL23" s="12"/>
      <c r="LCM23" s="12"/>
      <c r="LCN23" s="12"/>
      <c r="LCO23" s="12"/>
      <c r="LCP23" s="12"/>
      <c r="LCQ23" s="12"/>
      <c r="LCR23" s="12"/>
      <c r="LCS23" s="12"/>
      <c r="LCT23" s="12"/>
      <c r="LCU23" s="12"/>
      <c r="LCV23" s="12"/>
      <c r="LCW23" s="12"/>
      <c r="LCX23" s="12"/>
      <c r="LCY23" s="12"/>
      <c r="LCZ23" s="12"/>
      <c r="LDA23" s="12"/>
      <c r="LDB23" s="12"/>
      <c r="LDC23" s="12"/>
      <c r="LDD23" s="12"/>
      <c r="LDE23" s="12"/>
      <c r="LDF23" s="12"/>
      <c r="LDG23" s="12"/>
      <c r="LDH23" s="12"/>
      <c r="LDI23" s="12"/>
      <c r="LDJ23" s="12"/>
      <c r="LDK23" s="12"/>
      <c r="LDL23" s="12"/>
      <c r="LDM23" s="12"/>
      <c r="LDN23" s="12"/>
      <c r="LDO23" s="12"/>
      <c r="LDP23" s="12"/>
      <c r="LDQ23" s="12"/>
      <c r="LDR23" s="12"/>
      <c r="LDS23" s="12"/>
      <c r="LDT23" s="12"/>
      <c r="LDU23" s="12"/>
      <c r="LDV23" s="12"/>
      <c r="LDW23" s="12"/>
      <c r="LDX23" s="12"/>
      <c r="LDY23" s="12"/>
      <c r="LDZ23" s="12"/>
      <c r="LEA23" s="12"/>
      <c r="LEB23" s="12"/>
      <c r="LEC23" s="12"/>
      <c r="LED23" s="12"/>
      <c r="LEE23" s="12"/>
      <c r="LEF23" s="12"/>
      <c r="LEG23" s="12"/>
      <c r="LEH23" s="12"/>
      <c r="LEI23" s="12"/>
      <c r="LEJ23" s="12"/>
      <c r="LEK23" s="12"/>
      <c r="LEL23" s="12"/>
      <c r="LEM23" s="12"/>
      <c r="LEN23" s="12"/>
      <c r="LEO23" s="12"/>
      <c r="LEP23" s="12"/>
      <c r="LEQ23" s="12"/>
      <c r="LER23" s="12"/>
      <c r="LES23" s="12"/>
      <c r="LET23" s="12"/>
      <c r="LEU23" s="12"/>
      <c r="LEV23" s="12"/>
      <c r="LEW23" s="12"/>
      <c r="LEX23" s="12"/>
      <c r="LEY23" s="12"/>
      <c r="LEZ23" s="12"/>
      <c r="LFA23" s="12"/>
      <c r="LFB23" s="12"/>
      <c r="LFC23" s="12"/>
      <c r="LFD23" s="12"/>
      <c r="LFE23" s="12"/>
      <c r="LFF23" s="12"/>
      <c r="LFG23" s="12"/>
      <c r="LFH23" s="12"/>
      <c r="LFI23" s="12"/>
      <c r="LFJ23" s="12"/>
      <c r="LFK23" s="12"/>
      <c r="LFL23" s="12"/>
      <c r="LFM23" s="12"/>
      <c r="LFN23" s="12"/>
      <c r="LFO23" s="12"/>
      <c r="LFP23" s="12"/>
      <c r="LFQ23" s="12"/>
      <c r="LFR23" s="12"/>
      <c r="LFS23" s="12"/>
      <c r="LFT23" s="12"/>
      <c r="LFU23" s="12"/>
      <c r="LFV23" s="12"/>
      <c r="LFW23" s="12"/>
      <c r="LFX23" s="12"/>
      <c r="LFY23" s="12"/>
      <c r="LFZ23" s="12"/>
      <c r="LGA23" s="12"/>
      <c r="LGB23" s="12"/>
      <c r="LGC23" s="12"/>
      <c r="LGD23" s="12"/>
      <c r="LGE23" s="12"/>
      <c r="LGF23" s="12"/>
      <c r="LGG23" s="12"/>
      <c r="LGH23" s="12"/>
      <c r="LGI23" s="12"/>
      <c r="LGJ23" s="12"/>
      <c r="LGK23" s="12"/>
      <c r="LGL23" s="12"/>
      <c r="LGM23" s="12"/>
      <c r="LGN23" s="12"/>
      <c r="LGO23" s="12"/>
      <c r="LGP23" s="12"/>
      <c r="LGQ23" s="12"/>
      <c r="LGR23" s="12"/>
      <c r="LGS23" s="12"/>
      <c r="LGT23" s="12"/>
      <c r="LGU23" s="12"/>
      <c r="LGV23" s="12"/>
      <c r="LGW23" s="12"/>
      <c r="LGX23" s="12"/>
      <c r="LGY23" s="12"/>
      <c r="LGZ23" s="12"/>
      <c r="LHA23" s="12"/>
      <c r="LHB23" s="12"/>
      <c r="LHC23" s="12"/>
      <c r="LHD23" s="12"/>
      <c r="LHE23" s="12"/>
      <c r="LHF23" s="12"/>
      <c r="LHG23" s="12"/>
      <c r="LHH23" s="12"/>
      <c r="LHI23" s="12"/>
      <c r="LHJ23" s="12"/>
      <c r="LHK23" s="12"/>
      <c r="LHL23" s="12"/>
      <c r="LHM23" s="12"/>
      <c r="LHN23" s="12"/>
      <c r="LHO23" s="12"/>
      <c r="LHP23" s="12"/>
      <c r="LHQ23" s="12"/>
      <c r="LHR23" s="12"/>
      <c r="LHS23" s="12"/>
      <c r="LHT23" s="12"/>
      <c r="LHU23" s="12"/>
      <c r="LHV23" s="12"/>
      <c r="LHW23" s="12"/>
      <c r="LHX23" s="12"/>
      <c r="LHY23" s="12"/>
      <c r="LHZ23" s="12"/>
      <c r="LIA23" s="12"/>
      <c r="LIB23" s="12"/>
      <c r="LIC23" s="12"/>
      <c r="LID23" s="12"/>
      <c r="LIE23" s="12"/>
      <c r="LIF23" s="12"/>
      <c r="LIG23" s="12"/>
      <c r="LIH23" s="12"/>
      <c r="LII23" s="12"/>
      <c r="LIJ23" s="12"/>
      <c r="LIK23" s="12"/>
      <c r="LIL23" s="12"/>
      <c r="LIM23" s="12"/>
      <c r="LIN23" s="12"/>
      <c r="LIO23" s="12"/>
      <c r="LIP23" s="12"/>
      <c r="LIQ23" s="12"/>
      <c r="LIR23" s="12"/>
      <c r="LIS23" s="12"/>
      <c r="LIT23" s="12"/>
      <c r="LIU23" s="12"/>
      <c r="LIV23" s="12"/>
      <c r="LIW23" s="12"/>
      <c r="LIX23" s="12"/>
      <c r="LIY23" s="12"/>
      <c r="LIZ23" s="12"/>
      <c r="LJA23" s="12"/>
      <c r="LJB23" s="12"/>
      <c r="LJC23" s="12"/>
      <c r="LJD23" s="12"/>
      <c r="LJE23" s="12"/>
      <c r="LJF23" s="12"/>
      <c r="LJG23" s="12"/>
      <c r="LJH23" s="12"/>
      <c r="LJI23" s="12"/>
      <c r="LJJ23" s="12"/>
      <c r="LJK23" s="12"/>
      <c r="LJL23" s="12"/>
      <c r="LJM23" s="12"/>
      <c r="LJN23" s="12"/>
      <c r="LJO23" s="12"/>
      <c r="LJP23" s="12"/>
      <c r="LJQ23" s="12"/>
      <c r="LJR23" s="12"/>
      <c r="LJS23" s="12"/>
      <c r="LJT23" s="12"/>
      <c r="LJU23" s="12"/>
      <c r="LJV23" s="12"/>
      <c r="LJW23" s="12"/>
      <c r="LJX23" s="12"/>
      <c r="LJY23" s="12"/>
      <c r="LJZ23" s="12"/>
      <c r="LKA23" s="12"/>
      <c r="LKB23" s="12"/>
      <c r="LKC23" s="12"/>
      <c r="LKD23" s="12"/>
      <c r="LKE23" s="12"/>
      <c r="LKF23" s="12"/>
      <c r="LKG23" s="12"/>
      <c r="LKH23" s="12"/>
      <c r="LKI23" s="12"/>
      <c r="LKJ23" s="12"/>
      <c r="LKK23" s="12"/>
      <c r="LKL23" s="12"/>
      <c r="LKM23" s="12"/>
      <c r="LKN23" s="12"/>
      <c r="LKO23" s="12"/>
      <c r="LKP23" s="12"/>
      <c r="LKQ23" s="12"/>
      <c r="LKR23" s="12"/>
      <c r="LKS23" s="12"/>
      <c r="LKT23" s="12"/>
      <c r="LKU23" s="12"/>
      <c r="LKV23" s="12"/>
      <c r="LKW23" s="12"/>
      <c r="LKX23" s="12"/>
      <c r="LKY23" s="12"/>
      <c r="LKZ23" s="12"/>
      <c r="LLA23" s="12"/>
      <c r="LLB23" s="12"/>
      <c r="LLC23" s="12"/>
      <c r="LLD23" s="12"/>
      <c r="LLE23" s="12"/>
      <c r="LLF23" s="12"/>
      <c r="LLG23" s="12"/>
      <c r="LLH23" s="12"/>
      <c r="LLI23" s="12"/>
      <c r="LLJ23" s="12"/>
      <c r="LLK23" s="12"/>
      <c r="LLL23" s="12"/>
      <c r="LLM23" s="12"/>
      <c r="LLN23" s="12"/>
      <c r="LLO23" s="12"/>
      <c r="LLP23" s="12"/>
      <c r="LLQ23" s="12"/>
      <c r="LLR23" s="12"/>
      <c r="LLS23" s="12"/>
      <c r="LLT23" s="12"/>
      <c r="LLU23" s="12"/>
      <c r="LLV23" s="12"/>
      <c r="LLW23" s="12"/>
      <c r="LLX23" s="12"/>
      <c r="LLY23" s="12"/>
      <c r="LLZ23" s="12"/>
      <c r="LMA23" s="12"/>
      <c r="LMB23" s="12"/>
      <c r="LMC23" s="12"/>
      <c r="LMD23" s="12"/>
      <c r="LME23" s="12"/>
      <c r="LMF23" s="12"/>
      <c r="LMG23" s="12"/>
      <c r="LMH23" s="12"/>
      <c r="LMI23" s="12"/>
      <c r="LMJ23" s="12"/>
      <c r="LMK23" s="12"/>
      <c r="LML23" s="12"/>
      <c r="LMM23" s="12"/>
      <c r="LMN23" s="12"/>
      <c r="LMO23" s="12"/>
      <c r="LMP23" s="12"/>
      <c r="LMQ23" s="12"/>
      <c r="LMR23" s="12"/>
      <c r="LMS23" s="12"/>
      <c r="LMT23" s="12"/>
      <c r="LMU23" s="12"/>
      <c r="LMV23" s="12"/>
      <c r="LMW23" s="12"/>
      <c r="LMX23" s="12"/>
      <c r="LMY23" s="12"/>
      <c r="LMZ23" s="12"/>
      <c r="LNA23" s="12"/>
      <c r="LNB23" s="12"/>
      <c r="LNC23" s="12"/>
      <c r="LND23" s="12"/>
      <c r="LNE23" s="12"/>
      <c r="LNF23" s="12"/>
      <c r="LNG23" s="12"/>
      <c r="LNH23" s="12"/>
      <c r="LNI23" s="12"/>
      <c r="LNJ23" s="12"/>
      <c r="LNK23" s="12"/>
      <c r="LNL23" s="12"/>
      <c r="LNM23" s="12"/>
      <c r="LNN23" s="12"/>
      <c r="LNO23" s="12"/>
      <c r="LNP23" s="12"/>
      <c r="LNQ23" s="12"/>
      <c r="LNR23" s="12"/>
      <c r="LNS23" s="12"/>
      <c r="LNT23" s="12"/>
      <c r="LNU23" s="12"/>
      <c r="LNV23" s="12"/>
      <c r="LNW23" s="12"/>
      <c r="LNX23" s="12"/>
      <c r="LNY23" s="12"/>
      <c r="LNZ23" s="12"/>
      <c r="LOA23" s="12"/>
      <c r="LOB23" s="12"/>
      <c r="LOC23" s="12"/>
      <c r="LOD23" s="12"/>
      <c r="LOE23" s="12"/>
      <c r="LOF23" s="12"/>
      <c r="LOG23" s="12"/>
      <c r="LOH23" s="12"/>
      <c r="LOI23" s="12"/>
      <c r="LOJ23" s="12"/>
      <c r="LOK23" s="12"/>
      <c r="LOL23" s="12"/>
      <c r="LOM23" s="12"/>
      <c r="LON23" s="12"/>
      <c r="LOO23" s="12"/>
      <c r="LOP23" s="12"/>
      <c r="LOQ23" s="12"/>
      <c r="LOR23" s="12"/>
      <c r="LOS23" s="12"/>
      <c r="LOT23" s="12"/>
      <c r="LOU23" s="12"/>
      <c r="LOV23" s="12"/>
      <c r="LOW23" s="12"/>
      <c r="LOX23" s="12"/>
      <c r="LOY23" s="12"/>
      <c r="LOZ23" s="12"/>
      <c r="LPA23" s="12"/>
      <c r="LPB23" s="12"/>
      <c r="LPC23" s="12"/>
      <c r="LPD23" s="12"/>
      <c r="LPE23" s="12"/>
      <c r="LPF23" s="12"/>
      <c r="LPG23" s="12"/>
      <c r="LPH23" s="12"/>
      <c r="LPI23" s="12"/>
      <c r="LPJ23" s="12"/>
      <c r="LPK23" s="12"/>
      <c r="LPL23" s="12"/>
      <c r="LPM23" s="12"/>
      <c r="LPN23" s="12"/>
      <c r="LPO23" s="12"/>
      <c r="LPP23" s="12"/>
      <c r="LPQ23" s="12"/>
      <c r="LPR23" s="12"/>
      <c r="LPS23" s="12"/>
      <c r="LPT23" s="12"/>
      <c r="LPU23" s="12"/>
      <c r="LPV23" s="12"/>
      <c r="LPW23" s="12"/>
      <c r="LPX23" s="12"/>
      <c r="LPY23" s="12"/>
      <c r="LPZ23" s="12"/>
      <c r="LQA23" s="12"/>
      <c r="LQB23" s="12"/>
      <c r="LQC23" s="12"/>
      <c r="LQD23" s="12"/>
      <c r="LQE23" s="12"/>
      <c r="LQF23" s="12"/>
      <c r="LQG23" s="12"/>
      <c r="LQH23" s="12"/>
      <c r="LQI23" s="12"/>
      <c r="LQJ23" s="12"/>
      <c r="LQK23" s="12"/>
      <c r="LQL23" s="12"/>
      <c r="LQM23" s="12"/>
      <c r="LQN23" s="12"/>
      <c r="LQO23" s="12"/>
      <c r="LQP23" s="12"/>
      <c r="LQQ23" s="12"/>
      <c r="LQR23" s="12"/>
      <c r="LQS23" s="12"/>
      <c r="LQT23" s="12"/>
      <c r="LQU23" s="12"/>
      <c r="LQV23" s="12"/>
      <c r="LQW23" s="12"/>
      <c r="LQX23" s="12"/>
      <c r="LQY23" s="12"/>
      <c r="LQZ23" s="12"/>
      <c r="LRA23" s="12"/>
      <c r="LRB23" s="12"/>
      <c r="LRC23" s="12"/>
      <c r="LRD23" s="12"/>
      <c r="LRE23" s="12"/>
      <c r="LRF23" s="12"/>
      <c r="LRG23" s="12"/>
      <c r="LRH23" s="12"/>
      <c r="LRI23" s="12"/>
      <c r="LRJ23" s="12"/>
      <c r="LRK23" s="12"/>
      <c r="LRL23" s="12"/>
      <c r="LRM23" s="12"/>
      <c r="LRN23" s="12"/>
      <c r="LRO23" s="12"/>
      <c r="LRP23" s="12"/>
      <c r="LRQ23" s="12"/>
      <c r="LRR23" s="12"/>
      <c r="LRS23" s="12"/>
      <c r="LRT23" s="12"/>
      <c r="LRU23" s="12"/>
      <c r="LRV23" s="12"/>
      <c r="LRW23" s="12"/>
      <c r="LRX23" s="12"/>
      <c r="LRY23" s="12"/>
      <c r="LRZ23" s="12"/>
      <c r="LSA23" s="12"/>
      <c r="LSB23" s="12"/>
      <c r="LSC23" s="12"/>
      <c r="LSD23" s="12"/>
      <c r="LSE23" s="12"/>
      <c r="LSF23" s="12"/>
      <c r="LSG23" s="12"/>
      <c r="LSH23" s="12"/>
      <c r="LSI23" s="12"/>
      <c r="LSJ23" s="12"/>
      <c r="LSK23" s="12"/>
      <c r="LSL23" s="12"/>
      <c r="LSM23" s="12"/>
      <c r="LSN23" s="12"/>
      <c r="LSO23" s="12"/>
      <c r="LSP23" s="12"/>
      <c r="LSQ23" s="12"/>
      <c r="LSR23" s="12"/>
      <c r="LSS23" s="12"/>
      <c r="LST23" s="12"/>
      <c r="LSU23" s="12"/>
      <c r="LSV23" s="12"/>
      <c r="LSW23" s="12"/>
      <c r="LSX23" s="12"/>
      <c r="LSY23" s="12"/>
      <c r="LSZ23" s="12"/>
      <c r="LTA23" s="12"/>
      <c r="LTB23" s="12"/>
      <c r="LTC23" s="12"/>
      <c r="LTD23" s="12"/>
      <c r="LTE23" s="12"/>
      <c r="LTF23" s="12"/>
      <c r="LTG23" s="12"/>
      <c r="LTH23" s="12"/>
      <c r="LTI23" s="12"/>
      <c r="LTJ23" s="12"/>
      <c r="LTK23" s="12"/>
      <c r="LTL23" s="12"/>
      <c r="LTM23" s="12"/>
      <c r="LTN23" s="12"/>
      <c r="LTO23" s="12"/>
      <c r="LTP23" s="12"/>
      <c r="LTQ23" s="12"/>
      <c r="LTR23" s="12"/>
      <c r="LTS23" s="12"/>
      <c r="LTT23" s="12"/>
      <c r="LTU23" s="12"/>
      <c r="LTV23" s="12"/>
      <c r="LTW23" s="12"/>
      <c r="LTX23" s="12"/>
      <c r="LTY23" s="12"/>
      <c r="LTZ23" s="12"/>
      <c r="LUA23" s="12"/>
      <c r="LUB23" s="12"/>
      <c r="LUC23" s="12"/>
      <c r="LUD23" s="12"/>
      <c r="LUE23" s="12"/>
      <c r="LUF23" s="12"/>
      <c r="LUG23" s="12"/>
      <c r="LUH23" s="12"/>
      <c r="LUI23" s="12"/>
      <c r="LUJ23" s="12"/>
      <c r="LUK23" s="12"/>
      <c r="LUL23" s="12"/>
      <c r="LUM23" s="12"/>
      <c r="LUN23" s="12"/>
      <c r="LUO23" s="12"/>
      <c r="LUP23" s="12"/>
      <c r="LUQ23" s="12"/>
      <c r="LUR23" s="12"/>
      <c r="LUS23" s="12"/>
      <c r="LUT23" s="12"/>
      <c r="LUU23" s="12"/>
      <c r="LUV23" s="12"/>
      <c r="LUW23" s="12"/>
      <c r="LUX23" s="12"/>
      <c r="LUY23" s="12"/>
      <c r="LUZ23" s="12"/>
      <c r="LVA23" s="12"/>
      <c r="LVB23" s="12"/>
      <c r="LVC23" s="12"/>
      <c r="LVD23" s="12"/>
      <c r="LVE23" s="12"/>
      <c r="LVF23" s="12"/>
      <c r="LVG23" s="12"/>
      <c r="LVH23" s="12"/>
      <c r="LVI23" s="12"/>
      <c r="LVJ23" s="12"/>
      <c r="LVK23" s="12"/>
      <c r="LVL23" s="12"/>
      <c r="LVM23" s="12"/>
      <c r="LVN23" s="12"/>
      <c r="LVO23" s="12"/>
      <c r="LVP23" s="12"/>
      <c r="LVQ23" s="12"/>
      <c r="LVR23" s="12"/>
      <c r="LVS23" s="12"/>
      <c r="LVT23" s="12"/>
      <c r="LVU23" s="12"/>
      <c r="LVV23" s="12"/>
      <c r="LVW23" s="12"/>
      <c r="LVX23" s="12"/>
      <c r="LVY23" s="12"/>
      <c r="LVZ23" s="12"/>
      <c r="LWA23" s="12"/>
      <c r="LWB23" s="12"/>
      <c r="LWC23" s="12"/>
      <c r="LWD23" s="12"/>
      <c r="LWE23" s="12"/>
      <c r="LWF23" s="12"/>
      <c r="LWG23" s="12"/>
      <c r="LWH23" s="12"/>
      <c r="LWI23" s="12"/>
      <c r="LWJ23" s="12"/>
      <c r="LWK23" s="12"/>
      <c r="LWL23" s="12"/>
      <c r="LWM23" s="12"/>
      <c r="LWN23" s="12"/>
      <c r="LWO23" s="12"/>
      <c r="LWP23" s="12"/>
      <c r="LWQ23" s="12"/>
      <c r="LWR23" s="12"/>
      <c r="LWS23" s="12"/>
      <c r="LWT23" s="12"/>
      <c r="LWU23" s="12"/>
      <c r="LWV23" s="12"/>
      <c r="LWW23" s="12"/>
      <c r="LWX23" s="12"/>
      <c r="LWY23" s="12"/>
      <c r="LWZ23" s="12"/>
      <c r="LXA23" s="12"/>
      <c r="LXB23" s="12"/>
      <c r="LXC23" s="12"/>
      <c r="LXD23" s="12"/>
      <c r="LXE23" s="12"/>
      <c r="LXF23" s="12"/>
      <c r="LXG23" s="12"/>
      <c r="LXH23" s="12"/>
      <c r="LXI23" s="12"/>
      <c r="LXJ23" s="12"/>
      <c r="LXK23" s="12"/>
      <c r="LXL23" s="12"/>
      <c r="LXM23" s="12"/>
      <c r="LXN23" s="12"/>
      <c r="LXO23" s="12"/>
      <c r="LXP23" s="12"/>
      <c r="LXQ23" s="12"/>
      <c r="LXR23" s="12"/>
      <c r="LXS23" s="12"/>
      <c r="LXT23" s="12"/>
      <c r="LXU23" s="12"/>
      <c r="LXV23" s="12"/>
      <c r="LXW23" s="12"/>
      <c r="LXX23" s="12"/>
      <c r="LXY23" s="12"/>
      <c r="LXZ23" s="12"/>
      <c r="LYA23" s="12"/>
      <c r="LYB23" s="12"/>
      <c r="LYC23" s="12"/>
      <c r="LYD23" s="12"/>
      <c r="LYE23" s="12"/>
      <c r="LYF23" s="12"/>
      <c r="LYG23" s="12"/>
      <c r="LYH23" s="12"/>
      <c r="LYI23" s="12"/>
      <c r="LYJ23" s="12"/>
      <c r="LYK23" s="12"/>
      <c r="LYL23" s="12"/>
      <c r="LYM23" s="12"/>
      <c r="LYN23" s="12"/>
      <c r="LYO23" s="12"/>
      <c r="LYP23" s="12"/>
      <c r="LYQ23" s="12"/>
      <c r="LYR23" s="12"/>
      <c r="LYS23" s="12"/>
      <c r="LYT23" s="12"/>
      <c r="LYU23" s="12"/>
      <c r="LYV23" s="12"/>
      <c r="LYW23" s="12"/>
      <c r="LYX23" s="12"/>
      <c r="LYY23" s="12"/>
      <c r="LYZ23" s="12"/>
      <c r="LZA23" s="12"/>
      <c r="LZB23" s="12"/>
      <c r="LZC23" s="12"/>
      <c r="LZD23" s="12"/>
      <c r="LZE23" s="12"/>
      <c r="LZF23" s="12"/>
      <c r="LZG23" s="12"/>
      <c r="LZH23" s="12"/>
      <c r="LZI23" s="12"/>
      <c r="LZJ23" s="12"/>
      <c r="LZK23" s="12"/>
      <c r="LZL23" s="12"/>
      <c r="LZM23" s="12"/>
      <c r="LZN23" s="12"/>
      <c r="LZO23" s="12"/>
      <c r="LZP23" s="12"/>
      <c r="LZQ23" s="12"/>
      <c r="LZR23" s="12"/>
      <c r="LZS23" s="12"/>
      <c r="LZT23" s="12"/>
      <c r="LZU23" s="12"/>
      <c r="LZV23" s="12"/>
      <c r="LZW23" s="12"/>
      <c r="LZX23" s="12"/>
      <c r="LZY23" s="12"/>
      <c r="LZZ23" s="12"/>
      <c r="MAA23" s="12"/>
      <c r="MAB23" s="12"/>
      <c r="MAC23" s="12"/>
      <c r="MAD23" s="12"/>
      <c r="MAE23" s="12"/>
      <c r="MAF23" s="12"/>
      <c r="MAG23" s="12"/>
      <c r="MAH23" s="12"/>
      <c r="MAI23" s="12"/>
      <c r="MAJ23" s="12"/>
      <c r="MAK23" s="12"/>
      <c r="MAL23" s="12"/>
      <c r="MAM23" s="12"/>
      <c r="MAN23" s="12"/>
      <c r="MAO23" s="12"/>
      <c r="MAP23" s="12"/>
      <c r="MAQ23" s="12"/>
      <c r="MAR23" s="12"/>
      <c r="MAS23" s="12"/>
      <c r="MAT23" s="12"/>
      <c r="MAU23" s="12"/>
      <c r="MAV23" s="12"/>
      <c r="MAW23" s="12"/>
      <c r="MAX23" s="12"/>
      <c r="MAY23" s="12"/>
      <c r="MAZ23" s="12"/>
      <c r="MBA23" s="12"/>
      <c r="MBB23" s="12"/>
      <c r="MBC23" s="12"/>
      <c r="MBD23" s="12"/>
      <c r="MBE23" s="12"/>
      <c r="MBF23" s="12"/>
      <c r="MBG23" s="12"/>
      <c r="MBH23" s="12"/>
      <c r="MBI23" s="12"/>
      <c r="MBJ23" s="12"/>
      <c r="MBK23" s="12"/>
      <c r="MBL23" s="12"/>
      <c r="MBM23" s="12"/>
      <c r="MBN23" s="12"/>
      <c r="MBO23" s="12"/>
      <c r="MBP23" s="12"/>
      <c r="MBQ23" s="12"/>
      <c r="MBR23" s="12"/>
      <c r="MBS23" s="12"/>
      <c r="MBT23" s="12"/>
      <c r="MBU23" s="12"/>
      <c r="MBV23" s="12"/>
      <c r="MBW23" s="12"/>
      <c r="MBX23" s="12"/>
      <c r="MBY23" s="12"/>
      <c r="MBZ23" s="12"/>
      <c r="MCA23" s="12"/>
      <c r="MCB23" s="12"/>
      <c r="MCC23" s="12"/>
      <c r="MCD23" s="12"/>
      <c r="MCE23" s="12"/>
      <c r="MCF23" s="12"/>
      <c r="MCG23" s="12"/>
      <c r="MCH23" s="12"/>
      <c r="MCI23" s="12"/>
      <c r="MCJ23" s="12"/>
      <c r="MCK23" s="12"/>
      <c r="MCL23" s="12"/>
      <c r="MCM23" s="12"/>
      <c r="MCN23" s="12"/>
      <c r="MCO23" s="12"/>
      <c r="MCP23" s="12"/>
      <c r="MCQ23" s="12"/>
      <c r="MCR23" s="12"/>
      <c r="MCS23" s="12"/>
      <c r="MCT23" s="12"/>
      <c r="MCU23" s="12"/>
      <c r="MCV23" s="12"/>
      <c r="MCW23" s="12"/>
      <c r="MCX23" s="12"/>
      <c r="MCY23" s="12"/>
      <c r="MCZ23" s="12"/>
      <c r="MDA23" s="12"/>
      <c r="MDB23" s="12"/>
      <c r="MDC23" s="12"/>
      <c r="MDD23" s="12"/>
      <c r="MDE23" s="12"/>
      <c r="MDF23" s="12"/>
      <c r="MDG23" s="12"/>
      <c r="MDH23" s="12"/>
      <c r="MDI23" s="12"/>
      <c r="MDJ23" s="12"/>
      <c r="MDK23" s="12"/>
      <c r="MDL23" s="12"/>
      <c r="MDM23" s="12"/>
      <c r="MDN23" s="12"/>
      <c r="MDO23" s="12"/>
      <c r="MDP23" s="12"/>
      <c r="MDQ23" s="12"/>
      <c r="MDR23" s="12"/>
      <c r="MDS23" s="12"/>
      <c r="MDT23" s="12"/>
      <c r="MDU23" s="12"/>
      <c r="MDV23" s="12"/>
      <c r="MDW23" s="12"/>
      <c r="MDX23" s="12"/>
      <c r="MDY23" s="12"/>
      <c r="MDZ23" s="12"/>
      <c r="MEA23" s="12"/>
      <c r="MEB23" s="12"/>
      <c r="MEC23" s="12"/>
      <c r="MED23" s="12"/>
      <c r="MEE23" s="12"/>
      <c r="MEF23" s="12"/>
      <c r="MEG23" s="12"/>
      <c r="MEH23" s="12"/>
      <c r="MEI23" s="12"/>
      <c r="MEJ23" s="12"/>
      <c r="MEK23" s="12"/>
      <c r="MEL23" s="12"/>
      <c r="MEM23" s="12"/>
      <c r="MEN23" s="12"/>
      <c r="MEO23" s="12"/>
      <c r="MEP23" s="12"/>
      <c r="MEQ23" s="12"/>
      <c r="MER23" s="12"/>
      <c r="MES23" s="12"/>
      <c r="MET23" s="12"/>
      <c r="MEU23" s="12"/>
      <c r="MEV23" s="12"/>
      <c r="MEW23" s="12"/>
      <c r="MEX23" s="12"/>
      <c r="MEY23" s="12"/>
      <c r="MEZ23" s="12"/>
      <c r="MFA23" s="12"/>
      <c r="MFB23" s="12"/>
      <c r="MFC23" s="12"/>
      <c r="MFD23" s="12"/>
      <c r="MFE23" s="12"/>
      <c r="MFF23" s="12"/>
      <c r="MFG23" s="12"/>
      <c r="MFH23" s="12"/>
      <c r="MFI23" s="12"/>
      <c r="MFJ23" s="12"/>
      <c r="MFK23" s="12"/>
      <c r="MFL23" s="12"/>
      <c r="MFM23" s="12"/>
      <c r="MFN23" s="12"/>
      <c r="MFO23" s="12"/>
      <c r="MFP23" s="12"/>
      <c r="MFQ23" s="12"/>
      <c r="MFR23" s="12"/>
      <c r="MFS23" s="12"/>
      <c r="MFT23" s="12"/>
      <c r="MFU23" s="12"/>
      <c r="MFV23" s="12"/>
      <c r="MFW23" s="12"/>
      <c r="MFX23" s="12"/>
      <c r="MFY23" s="12"/>
      <c r="MFZ23" s="12"/>
      <c r="MGA23" s="12"/>
      <c r="MGB23" s="12"/>
      <c r="MGC23" s="12"/>
      <c r="MGD23" s="12"/>
      <c r="MGE23" s="12"/>
      <c r="MGF23" s="12"/>
      <c r="MGG23" s="12"/>
      <c r="MGH23" s="12"/>
      <c r="MGI23" s="12"/>
      <c r="MGJ23" s="12"/>
      <c r="MGK23" s="12"/>
      <c r="MGL23" s="12"/>
      <c r="MGM23" s="12"/>
      <c r="MGN23" s="12"/>
      <c r="MGO23" s="12"/>
      <c r="MGP23" s="12"/>
      <c r="MGQ23" s="12"/>
      <c r="MGR23" s="12"/>
      <c r="MGS23" s="12"/>
      <c r="MGT23" s="12"/>
      <c r="MGU23" s="12"/>
      <c r="MGV23" s="12"/>
      <c r="MGW23" s="12"/>
      <c r="MGX23" s="12"/>
      <c r="MGY23" s="12"/>
      <c r="MGZ23" s="12"/>
      <c r="MHA23" s="12"/>
      <c r="MHB23" s="12"/>
      <c r="MHC23" s="12"/>
      <c r="MHD23" s="12"/>
      <c r="MHE23" s="12"/>
      <c r="MHF23" s="12"/>
      <c r="MHG23" s="12"/>
      <c r="MHH23" s="12"/>
      <c r="MHI23" s="12"/>
      <c r="MHJ23" s="12"/>
      <c r="MHK23" s="12"/>
      <c r="MHL23" s="12"/>
      <c r="MHM23" s="12"/>
      <c r="MHN23" s="12"/>
      <c r="MHO23" s="12"/>
      <c r="MHP23" s="12"/>
      <c r="MHQ23" s="12"/>
      <c r="MHR23" s="12"/>
      <c r="MHS23" s="12"/>
      <c r="MHT23" s="12"/>
      <c r="MHU23" s="12"/>
      <c r="MHV23" s="12"/>
      <c r="MHW23" s="12"/>
      <c r="MHX23" s="12"/>
      <c r="MHY23" s="12"/>
      <c r="MHZ23" s="12"/>
      <c r="MIA23" s="12"/>
      <c r="MIB23" s="12"/>
      <c r="MIC23" s="12"/>
      <c r="MID23" s="12"/>
      <c r="MIE23" s="12"/>
      <c r="MIF23" s="12"/>
      <c r="MIG23" s="12"/>
      <c r="MIH23" s="12"/>
      <c r="MII23" s="12"/>
      <c r="MIJ23" s="12"/>
      <c r="MIK23" s="12"/>
      <c r="MIL23" s="12"/>
      <c r="MIM23" s="12"/>
      <c r="MIN23" s="12"/>
      <c r="MIO23" s="12"/>
      <c r="MIP23" s="12"/>
      <c r="MIQ23" s="12"/>
      <c r="MIR23" s="12"/>
      <c r="MIS23" s="12"/>
      <c r="MIT23" s="12"/>
      <c r="MIU23" s="12"/>
      <c r="MIV23" s="12"/>
      <c r="MIW23" s="12"/>
      <c r="MIX23" s="12"/>
      <c r="MIY23" s="12"/>
      <c r="MIZ23" s="12"/>
      <c r="MJA23" s="12"/>
      <c r="MJB23" s="12"/>
      <c r="MJC23" s="12"/>
      <c r="MJD23" s="12"/>
      <c r="MJE23" s="12"/>
      <c r="MJF23" s="12"/>
      <c r="MJG23" s="12"/>
      <c r="MJH23" s="12"/>
      <c r="MJI23" s="12"/>
      <c r="MJJ23" s="12"/>
      <c r="MJK23" s="12"/>
      <c r="MJL23" s="12"/>
      <c r="MJM23" s="12"/>
      <c r="MJN23" s="12"/>
      <c r="MJO23" s="12"/>
      <c r="MJP23" s="12"/>
      <c r="MJQ23" s="12"/>
      <c r="MJR23" s="12"/>
      <c r="MJS23" s="12"/>
      <c r="MJT23" s="12"/>
      <c r="MJU23" s="12"/>
      <c r="MJV23" s="12"/>
      <c r="MJW23" s="12"/>
      <c r="MJX23" s="12"/>
      <c r="MJY23" s="12"/>
      <c r="MJZ23" s="12"/>
      <c r="MKA23" s="12"/>
      <c r="MKB23" s="12"/>
      <c r="MKC23" s="12"/>
      <c r="MKD23" s="12"/>
      <c r="MKE23" s="12"/>
      <c r="MKF23" s="12"/>
      <c r="MKG23" s="12"/>
      <c r="MKH23" s="12"/>
      <c r="MKI23" s="12"/>
      <c r="MKJ23" s="12"/>
      <c r="MKK23" s="12"/>
      <c r="MKL23" s="12"/>
      <c r="MKM23" s="12"/>
      <c r="MKN23" s="12"/>
      <c r="MKO23" s="12"/>
      <c r="MKP23" s="12"/>
      <c r="MKQ23" s="12"/>
      <c r="MKR23" s="12"/>
      <c r="MKS23" s="12"/>
      <c r="MKT23" s="12"/>
      <c r="MKU23" s="12"/>
      <c r="MKV23" s="12"/>
      <c r="MKW23" s="12"/>
      <c r="MKX23" s="12"/>
      <c r="MKY23" s="12"/>
      <c r="MKZ23" s="12"/>
      <c r="MLA23" s="12"/>
      <c r="MLB23" s="12"/>
      <c r="MLC23" s="12"/>
      <c r="MLD23" s="12"/>
      <c r="MLE23" s="12"/>
      <c r="MLF23" s="12"/>
      <c r="MLG23" s="12"/>
      <c r="MLH23" s="12"/>
      <c r="MLI23" s="12"/>
      <c r="MLJ23" s="12"/>
      <c r="MLK23" s="12"/>
      <c r="MLL23" s="12"/>
      <c r="MLM23" s="12"/>
      <c r="MLN23" s="12"/>
      <c r="MLO23" s="12"/>
      <c r="MLP23" s="12"/>
      <c r="MLQ23" s="12"/>
      <c r="MLR23" s="12"/>
      <c r="MLS23" s="12"/>
      <c r="MLT23" s="12"/>
      <c r="MLU23" s="12"/>
      <c r="MLV23" s="12"/>
      <c r="MLW23" s="12"/>
      <c r="MLX23" s="12"/>
      <c r="MLY23" s="12"/>
      <c r="MLZ23" s="12"/>
      <c r="MMA23" s="12"/>
      <c r="MMB23" s="12"/>
      <c r="MMC23" s="12"/>
      <c r="MMD23" s="12"/>
      <c r="MME23" s="12"/>
      <c r="MMF23" s="12"/>
      <c r="MMG23" s="12"/>
      <c r="MMH23" s="12"/>
      <c r="MMI23" s="12"/>
      <c r="MMJ23" s="12"/>
      <c r="MMK23" s="12"/>
      <c r="MML23" s="12"/>
      <c r="MMM23" s="12"/>
      <c r="MMN23" s="12"/>
      <c r="MMO23" s="12"/>
      <c r="MMP23" s="12"/>
      <c r="MMQ23" s="12"/>
      <c r="MMR23" s="12"/>
      <c r="MMS23" s="12"/>
      <c r="MMT23" s="12"/>
      <c r="MMU23" s="12"/>
      <c r="MMV23" s="12"/>
      <c r="MMW23" s="12"/>
      <c r="MMX23" s="12"/>
      <c r="MMY23" s="12"/>
      <c r="MMZ23" s="12"/>
      <c r="MNA23" s="12"/>
      <c r="MNB23" s="12"/>
      <c r="MNC23" s="12"/>
      <c r="MND23" s="12"/>
      <c r="MNE23" s="12"/>
      <c r="MNF23" s="12"/>
      <c r="MNG23" s="12"/>
      <c r="MNH23" s="12"/>
      <c r="MNI23" s="12"/>
      <c r="MNJ23" s="12"/>
      <c r="MNK23" s="12"/>
      <c r="MNL23" s="12"/>
      <c r="MNM23" s="12"/>
      <c r="MNN23" s="12"/>
      <c r="MNO23" s="12"/>
      <c r="MNP23" s="12"/>
      <c r="MNQ23" s="12"/>
      <c r="MNR23" s="12"/>
      <c r="MNS23" s="12"/>
      <c r="MNT23" s="12"/>
      <c r="MNU23" s="12"/>
      <c r="MNV23" s="12"/>
      <c r="MNW23" s="12"/>
      <c r="MNX23" s="12"/>
      <c r="MNY23" s="12"/>
      <c r="MNZ23" s="12"/>
      <c r="MOA23" s="12"/>
      <c r="MOB23" s="12"/>
      <c r="MOC23" s="12"/>
      <c r="MOD23" s="12"/>
      <c r="MOE23" s="12"/>
      <c r="MOF23" s="12"/>
      <c r="MOG23" s="12"/>
      <c r="MOH23" s="12"/>
      <c r="MOI23" s="12"/>
      <c r="MOJ23" s="12"/>
      <c r="MOK23" s="12"/>
      <c r="MOL23" s="12"/>
      <c r="MOM23" s="12"/>
      <c r="MON23" s="12"/>
      <c r="MOO23" s="12"/>
      <c r="MOP23" s="12"/>
      <c r="MOQ23" s="12"/>
      <c r="MOR23" s="12"/>
      <c r="MOS23" s="12"/>
      <c r="MOT23" s="12"/>
      <c r="MOU23" s="12"/>
      <c r="MOV23" s="12"/>
      <c r="MOW23" s="12"/>
      <c r="MOX23" s="12"/>
      <c r="MOY23" s="12"/>
      <c r="MOZ23" s="12"/>
      <c r="MPA23" s="12"/>
      <c r="MPB23" s="12"/>
      <c r="MPC23" s="12"/>
      <c r="MPD23" s="12"/>
      <c r="MPE23" s="12"/>
      <c r="MPF23" s="12"/>
      <c r="MPG23" s="12"/>
      <c r="MPH23" s="12"/>
      <c r="MPI23" s="12"/>
      <c r="MPJ23" s="12"/>
      <c r="MPK23" s="12"/>
      <c r="MPL23" s="12"/>
      <c r="MPM23" s="12"/>
      <c r="MPN23" s="12"/>
      <c r="MPO23" s="12"/>
      <c r="MPP23" s="12"/>
      <c r="MPQ23" s="12"/>
      <c r="MPR23" s="12"/>
      <c r="MPS23" s="12"/>
      <c r="MPT23" s="12"/>
      <c r="MPU23" s="12"/>
      <c r="MPV23" s="12"/>
      <c r="MPW23" s="12"/>
      <c r="MPX23" s="12"/>
      <c r="MPY23" s="12"/>
      <c r="MPZ23" s="12"/>
      <c r="MQA23" s="12"/>
      <c r="MQB23" s="12"/>
      <c r="MQC23" s="12"/>
      <c r="MQD23" s="12"/>
      <c r="MQE23" s="12"/>
      <c r="MQF23" s="12"/>
      <c r="MQG23" s="12"/>
      <c r="MQH23" s="12"/>
      <c r="MQI23" s="12"/>
      <c r="MQJ23" s="12"/>
      <c r="MQK23" s="12"/>
      <c r="MQL23" s="12"/>
      <c r="MQM23" s="12"/>
      <c r="MQN23" s="12"/>
      <c r="MQO23" s="12"/>
      <c r="MQP23" s="12"/>
      <c r="MQQ23" s="12"/>
      <c r="MQR23" s="12"/>
      <c r="MQS23" s="12"/>
      <c r="MQT23" s="12"/>
      <c r="MQU23" s="12"/>
      <c r="MQV23" s="12"/>
      <c r="MQW23" s="12"/>
      <c r="MQX23" s="12"/>
      <c r="MQY23" s="12"/>
      <c r="MQZ23" s="12"/>
      <c r="MRA23" s="12"/>
      <c r="MRB23" s="12"/>
      <c r="MRC23" s="12"/>
      <c r="MRD23" s="12"/>
      <c r="MRE23" s="12"/>
      <c r="MRF23" s="12"/>
      <c r="MRG23" s="12"/>
      <c r="MRH23" s="12"/>
      <c r="MRI23" s="12"/>
      <c r="MRJ23" s="12"/>
      <c r="MRK23" s="12"/>
      <c r="MRL23" s="12"/>
      <c r="MRM23" s="12"/>
      <c r="MRN23" s="12"/>
      <c r="MRO23" s="12"/>
      <c r="MRP23" s="12"/>
      <c r="MRQ23" s="12"/>
      <c r="MRR23" s="12"/>
      <c r="MRS23" s="12"/>
      <c r="MRT23" s="12"/>
      <c r="MRU23" s="12"/>
      <c r="MRV23" s="12"/>
      <c r="MRW23" s="12"/>
      <c r="MRX23" s="12"/>
      <c r="MRY23" s="12"/>
      <c r="MRZ23" s="12"/>
      <c r="MSA23" s="12"/>
      <c r="MSB23" s="12"/>
      <c r="MSC23" s="12"/>
      <c r="MSD23" s="12"/>
      <c r="MSE23" s="12"/>
      <c r="MSF23" s="12"/>
      <c r="MSG23" s="12"/>
      <c r="MSH23" s="12"/>
      <c r="MSI23" s="12"/>
      <c r="MSJ23" s="12"/>
      <c r="MSK23" s="12"/>
      <c r="MSL23" s="12"/>
      <c r="MSM23" s="12"/>
      <c r="MSN23" s="12"/>
      <c r="MSO23" s="12"/>
      <c r="MSP23" s="12"/>
      <c r="MSQ23" s="12"/>
      <c r="MSR23" s="12"/>
      <c r="MSS23" s="12"/>
      <c r="MST23" s="12"/>
      <c r="MSU23" s="12"/>
      <c r="MSV23" s="12"/>
      <c r="MSW23" s="12"/>
      <c r="MSX23" s="12"/>
      <c r="MSY23" s="12"/>
      <c r="MSZ23" s="12"/>
      <c r="MTA23" s="12"/>
      <c r="MTB23" s="12"/>
      <c r="MTC23" s="12"/>
      <c r="MTD23" s="12"/>
      <c r="MTE23" s="12"/>
      <c r="MTF23" s="12"/>
      <c r="MTG23" s="12"/>
      <c r="MTH23" s="12"/>
      <c r="MTI23" s="12"/>
      <c r="MTJ23" s="12"/>
      <c r="MTK23" s="12"/>
      <c r="MTL23" s="12"/>
      <c r="MTM23" s="12"/>
      <c r="MTN23" s="12"/>
      <c r="MTO23" s="12"/>
      <c r="MTP23" s="12"/>
      <c r="MTQ23" s="12"/>
      <c r="MTR23" s="12"/>
      <c r="MTS23" s="12"/>
      <c r="MTT23" s="12"/>
      <c r="MTU23" s="12"/>
      <c r="MTV23" s="12"/>
      <c r="MTW23" s="12"/>
      <c r="MTX23" s="12"/>
      <c r="MTY23" s="12"/>
      <c r="MTZ23" s="12"/>
      <c r="MUA23" s="12"/>
      <c r="MUB23" s="12"/>
      <c r="MUC23" s="12"/>
      <c r="MUD23" s="12"/>
      <c r="MUE23" s="12"/>
      <c r="MUF23" s="12"/>
      <c r="MUG23" s="12"/>
      <c r="MUH23" s="12"/>
      <c r="MUI23" s="12"/>
      <c r="MUJ23" s="12"/>
      <c r="MUK23" s="12"/>
      <c r="MUL23" s="12"/>
      <c r="MUM23" s="12"/>
      <c r="MUN23" s="12"/>
      <c r="MUO23" s="12"/>
      <c r="MUP23" s="12"/>
      <c r="MUQ23" s="12"/>
      <c r="MUR23" s="12"/>
      <c r="MUS23" s="12"/>
      <c r="MUT23" s="12"/>
      <c r="MUU23" s="12"/>
      <c r="MUV23" s="12"/>
      <c r="MUW23" s="12"/>
      <c r="MUX23" s="12"/>
      <c r="MUY23" s="12"/>
      <c r="MUZ23" s="12"/>
      <c r="MVA23" s="12"/>
      <c r="MVB23" s="12"/>
      <c r="MVC23" s="12"/>
      <c r="MVD23" s="12"/>
      <c r="MVE23" s="12"/>
      <c r="MVF23" s="12"/>
      <c r="MVG23" s="12"/>
      <c r="MVH23" s="12"/>
      <c r="MVI23" s="12"/>
      <c r="MVJ23" s="12"/>
      <c r="MVK23" s="12"/>
      <c r="MVL23" s="12"/>
      <c r="MVM23" s="12"/>
      <c r="MVN23" s="12"/>
      <c r="MVO23" s="12"/>
      <c r="MVP23" s="12"/>
      <c r="MVQ23" s="12"/>
      <c r="MVR23" s="12"/>
      <c r="MVS23" s="12"/>
      <c r="MVT23" s="12"/>
      <c r="MVU23" s="12"/>
      <c r="MVV23" s="12"/>
      <c r="MVW23" s="12"/>
      <c r="MVX23" s="12"/>
      <c r="MVY23" s="12"/>
      <c r="MVZ23" s="12"/>
      <c r="MWA23" s="12"/>
      <c r="MWB23" s="12"/>
      <c r="MWC23" s="12"/>
      <c r="MWD23" s="12"/>
      <c r="MWE23" s="12"/>
      <c r="MWF23" s="12"/>
      <c r="MWG23" s="12"/>
      <c r="MWH23" s="12"/>
      <c r="MWI23" s="12"/>
      <c r="MWJ23" s="12"/>
      <c r="MWK23" s="12"/>
      <c r="MWL23" s="12"/>
      <c r="MWM23" s="12"/>
      <c r="MWN23" s="12"/>
      <c r="MWO23" s="12"/>
      <c r="MWP23" s="12"/>
      <c r="MWQ23" s="12"/>
      <c r="MWR23" s="12"/>
      <c r="MWS23" s="12"/>
      <c r="MWT23" s="12"/>
      <c r="MWU23" s="12"/>
      <c r="MWV23" s="12"/>
      <c r="MWW23" s="12"/>
      <c r="MWX23" s="12"/>
      <c r="MWY23" s="12"/>
      <c r="MWZ23" s="12"/>
      <c r="MXA23" s="12"/>
      <c r="MXB23" s="12"/>
      <c r="MXC23" s="12"/>
      <c r="MXD23" s="12"/>
      <c r="MXE23" s="12"/>
      <c r="MXF23" s="12"/>
      <c r="MXG23" s="12"/>
      <c r="MXH23" s="12"/>
      <c r="MXI23" s="12"/>
      <c r="MXJ23" s="12"/>
      <c r="MXK23" s="12"/>
      <c r="MXL23" s="12"/>
      <c r="MXM23" s="12"/>
      <c r="MXN23" s="12"/>
      <c r="MXO23" s="12"/>
      <c r="MXP23" s="12"/>
      <c r="MXQ23" s="12"/>
      <c r="MXR23" s="12"/>
      <c r="MXS23" s="12"/>
      <c r="MXT23" s="12"/>
      <c r="MXU23" s="12"/>
      <c r="MXV23" s="12"/>
      <c r="MXW23" s="12"/>
      <c r="MXX23" s="12"/>
      <c r="MXY23" s="12"/>
      <c r="MXZ23" s="12"/>
      <c r="MYA23" s="12"/>
      <c r="MYB23" s="12"/>
      <c r="MYC23" s="12"/>
      <c r="MYD23" s="12"/>
      <c r="MYE23" s="12"/>
      <c r="MYF23" s="12"/>
      <c r="MYG23" s="12"/>
      <c r="MYH23" s="12"/>
      <c r="MYI23" s="12"/>
      <c r="MYJ23" s="12"/>
      <c r="MYK23" s="12"/>
      <c r="MYL23" s="12"/>
      <c r="MYM23" s="12"/>
      <c r="MYN23" s="12"/>
      <c r="MYO23" s="12"/>
      <c r="MYP23" s="12"/>
      <c r="MYQ23" s="12"/>
      <c r="MYR23" s="12"/>
      <c r="MYS23" s="12"/>
      <c r="MYT23" s="12"/>
      <c r="MYU23" s="12"/>
      <c r="MYV23" s="12"/>
      <c r="MYW23" s="12"/>
      <c r="MYX23" s="12"/>
      <c r="MYY23" s="12"/>
      <c r="MYZ23" s="12"/>
      <c r="MZA23" s="12"/>
      <c r="MZB23" s="12"/>
      <c r="MZC23" s="12"/>
      <c r="MZD23" s="12"/>
      <c r="MZE23" s="12"/>
      <c r="MZF23" s="12"/>
      <c r="MZG23" s="12"/>
      <c r="MZH23" s="12"/>
      <c r="MZI23" s="12"/>
      <c r="MZJ23" s="12"/>
      <c r="MZK23" s="12"/>
      <c r="MZL23" s="12"/>
      <c r="MZM23" s="12"/>
      <c r="MZN23" s="12"/>
      <c r="MZO23" s="12"/>
      <c r="MZP23" s="12"/>
      <c r="MZQ23" s="12"/>
      <c r="MZR23" s="12"/>
      <c r="MZS23" s="12"/>
      <c r="MZT23" s="12"/>
      <c r="MZU23" s="12"/>
      <c r="MZV23" s="12"/>
      <c r="MZW23" s="12"/>
      <c r="MZX23" s="12"/>
      <c r="MZY23" s="12"/>
      <c r="MZZ23" s="12"/>
      <c r="NAA23" s="12"/>
      <c r="NAB23" s="12"/>
      <c r="NAC23" s="12"/>
      <c r="NAD23" s="12"/>
      <c r="NAE23" s="12"/>
      <c r="NAF23" s="12"/>
      <c r="NAG23" s="12"/>
      <c r="NAH23" s="12"/>
      <c r="NAI23" s="12"/>
      <c r="NAJ23" s="12"/>
      <c r="NAK23" s="12"/>
      <c r="NAL23" s="12"/>
      <c r="NAM23" s="12"/>
      <c r="NAN23" s="12"/>
      <c r="NAO23" s="12"/>
      <c r="NAP23" s="12"/>
      <c r="NAQ23" s="12"/>
      <c r="NAR23" s="12"/>
      <c r="NAS23" s="12"/>
      <c r="NAT23" s="12"/>
      <c r="NAU23" s="12"/>
      <c r="NAV23" s="12"/>
      <c r="NAW23" s="12"/>
      <c r="NAX23" s="12"/>
      <c r="NAY23" s="12"/>
      <c r="NAZ23" s="12"/>
      <c r="NBA23" s="12"/>
      <c r="NBB23" s="12"/>
      <c r="NBC23" s="12"/>
      <c r="NBD23" s="12"/>
      <c r="NBE23" s="12"/>
      <c r="NBF23" s="12"/>
      <c r="NBG23" s="12"/>
      <c r="NBH23" s="12"/>
      <c r="NBI23" s="12"/>
      <c r="NBJ23" s="12"/>
      <c r="NBK23" s="12"/>
      <c r="NBL23" s="12"/>
      <c r="NBM23" s="12"/>
      <c r="NBN23" s="12"/>
      <c r="NBO23" s="12"/>
      <c r="NBP23" s="12"/>
      <c r="NBQ23" s="12"/>
      <c r="NBR23" s="12"/>
      <c r="NBS23" s="12"/>
      <c r="NBT23" s="12"/>
      <c r="NBU23" s="12"/>
      <c r="NBV23" s="12"/>
      <c r="NBW23" s="12"/>
      <c r="NBX23" s="12"/>
      <c r="NBY23" s="12"/>
      <c r="NBZ23" s="12"/>
      <c r="NCA23" s="12"/>
      <c r="NCB23" s="12"/>
      <c r="NCC23" s="12"/>
      <c r="NCD23" s="12"/>
      <c r="NCE23" s="12"/>
      <c r="NCF23" s="12"/>
      <c r="NCG23" s="12"/>
      <c r="NCH23" s="12"/>
      <c r="NCI23" s="12"/>
      <c r="NCJ23" s="12"/>
      <c r="NCK23" s="12"/>
      <c r="NCL23" s="12"/>
      <c r="NCM23" s="12"/>
      <c r="NCN23" s="12"/>
      <c r="NCO23" s="12"/>
      <c r="NCP23" s="12"/>
      <c r="NCQ23" s="12"/>
      <c r="NCR23" s="12"/>
      <c r="NCS23" s="12"/>
      <c r="NCT23" s="12"/>
      <c r="NCU23" s="12"/>
      <c r="NCV23" s="12"/>
      <c r="NCW23" s="12"/>
      <c r="NCX23" s="12"/>
      <c r="NCY23" s="12"/>
      <c r="NCZ23" s="12"/>
      <c r="NDA23" s="12"/>
      <c r="NDB23" s="12"/>
      <c r="NDC23" s="12"/>
      <c r="NDD23" s="12"/>
      <c r="NDE23" s="12"/>
      <c r="NDF23" s="12"/>
      <c r="NDG23" s="12"/>
      <c r="NDH23" s="12"/>
      <c r="NDI23" s="12"/>
      <c r="NDJ23" s="12"/>
      <c r="NDK23" s="12"/>
      <c r="NDL23" s="12"/>
      <c r="NDM23" s="12"/>
      <c r="NDN23" s="12"/>
      <c r="NDO23" s="12"/>
      <c r="NDP23" s="12"/>
      <c r="NDQ23" s="12"/>
      <c r="NDR23" s="12"/>
      <c r="NDS23" s="12"/>
      <c r="NDT23" s="12"/>
      <c r="NDU23" s="12"/>
      <c r="NDV23" s="12"/>
      <c r="NDW23" s="12"/>
      <c r="NDX23" s="12"/>
      <c r="NDY23" s="12"/>
      <c r="NDZ23" s="12"/>
      <c r="NEA23" s="12"/>
      <c r="NEB23" s="12"/>
      <c r="NEC23" s="12"/>
      <c r="NED23" s="12"/>
      <c r="NEE23" s="12"/>
      <c r="NEF23" s="12"/>
      <c r="NEG23" s="12"/>
      <c r="NEH23" s="12"/>
      <c r="NEI23" s="12"/>
      <c r="NEJ23" s="12"/>
      <c r="NEK23" s="12"/>
      <c r="NEL23" s="12"/>
      <c r="NEM23" s="12"/>
      <c r="NEN23" s="12"/>
      <c r="NEO23" s="12"/>
      <c r="NEP23" s="12"/>
      <c r="NEQ23" s="12"/>
      <c r="NER23" s="12"/>
      <c r="NES23" s="12"/>
      <c r="NET23" s="12"/>
      <c r="NEU23" s="12"/>
      <c r="NEV23" s="12"/>
      <c r="NEW23" s="12"/>
      <c r="NEX23" s="12"/>
      <c r="NEY23" s="12"/>
      <c r="NEZ23" s="12"/>
      <c r="NFA23" s="12"/>
      <c r="NFB23" s="12"/>
      <c r="NFC23" s="12"/>
      <c r="NFD23" s="12"/>
      <c r="NFE23" s="12"/>
      <c r="NFF23" s="12"/>
      <c r="NFG23" s="12"/>
      <c r="NFH23" s="12"/>
      <c r="NFI23" s="12"/>
      <c r="NFJ23" s="12"/>
      <c r="NFK23" s="12"/>
      <c r="NFL23" s="12"/>
      <c r="NFM23" s="12"/>
      <c r="NFN23" s="12"/>
      <c r="NFO23" s="12"/>
      <c r="NFP23" s="12"/>
      <c r="NFQ23" s="12"/>
      <c r="NFR23" s="12"/>
      <c r="NFS23" s="12"/>
      <c r="NFT23" s="12"/>
      <c r="NFU23" s="12"/>
      <c r="NFV23" s="12"/>
      <c r="NFW23" s="12"/>
      <c r="NFX23" s="12"/>
      <c r="NFY23" s="12"/>
      <c r="NFZ23" s="12"/>
      <c r="NGA23" s="12"/>
      <c r="NGB23" s="12"/>
      <c r="NGC23" s="12"/>
      <c r="NGD23" s="12"/>
      <c r="NGE23" s="12"/>
      <c r="NGF23" s="12"/>
      <c r="NGG23" s="12"/>
      <c r="NGH23" s="12"/>
      <c r="NGI23" s="12"/>
      <c r="NGJ23" s="12"/>
      <c r="NGK23" s="12"/>
      <c r="NGL23" s="12"/>
      <c r="NGM23" s="12"/>
      <c r="NGN23" s="12"/>
      <c r="NGO23" s="12"/>
      <c r="NGP23" s="12"/>
      <c r="NGQ23" s="12"/>
      <c r="NGR23" s="12"/>
      <c r="NGS23" s="12"/>
      <c r="NGT23" s="12"/>
      <c r="NGU23" s="12"/>
      <c r="NGV23" s="12"/>
      <c r="NGW23" s="12"/>
      <c r="NGX23" s="12"/>
      <c r="NGY23" s="12"/>
      <c r="NGZ23" s="12"/>
      <c r="NHA23" s="12"/>
      <c r="NHB23" s="12"/>
      <c r="NHC23" s="12"/>
      <c r="NHD23" s="12"/>
      <c r="NHE23" s="12"/>
      <c r="NHF23" s="12"/>
      <c r="NHG23" s="12"/>
      <c r="NHH23" s="12"/>
      <c r="NHI23" s="12"/>
      <c r="NHJ23" s="12"/>
      <c r="NHK23" s="12"/>
      <c r="NHL23" s="12"/>
      <c r="NHM23" s="12"/>
      <c r="NHN23" s="12"/>
      <c r="NHO23" s="12"/>
      <c r="NHP23" s="12"/>
      <c r="NHQ23" s="12"/>
      <c r="NHR23" s="12"/>
      <c r="NHS23" s="12"/>
      <c r="NHT23" s="12"/>
      <c r="NHU23" s="12"/>
      <c r="NHV23" s="12"/>
      <c r="NHW23" s="12"/>
      <c r="NHX23" s="12"/>
      <c r="NHY23" s="12"/>
      <c r="NHZ23" s="12"/>
      <c r="NIA23" s="12"/>
      <c r="NIB23" s="12"/>
      <c r="NIC23" s="12"/>
      <c r="NID23" s="12"/>
      <c r="NIE23" s="12"/>
      <c r="NIF23" s="12"/>
      <c r="NIG23" s="12"/>
      <c r="NIH23" s="12"/>
      <c r="NII23" s="12"/>
      <c r="NIJ23" s="12"/>
      <c r="NIK23" s="12"/>
      <c r="NIL23" s="12"/>
      <c r="NIM23" s="12"/>
      <c r="NIN23" s="12"/>
      <c r="NIO23" s="12"/>
      <c r="NIP23" s="12"/>
      <c r="NIQ23" s="12"/>
      <c r="NIR23" s="12"/>
      <c r="NIS23" s="12"/>
      <c r="NIT23" s="12"/>
      <c r="NIU23" s="12"/>
      <c r="NIV23" s="12"/>
      <c r="NIW23" s="12"/>
      <c r="NIX23" s="12"/>
      <c r="NIY23" s="12"/>
      <c r="NIZ23" s="12"/>
      <c r="NJA23" s="12"/>
      <c r="NJB23" s="12"/>
      <c r="NJC23" s="12"/>
      <c r="NJD23" s="12"/>
      <c r="NJE23" s="12"/>
      <c r="NJF23" s="12"/>
      <c r="NJG23" s="12"/>
      <c r="NJH23" s="12"/>
      <c r="NJI23" s="12"/>
      <c r="NJJ23" s="12"/>
      <c r="NJK23" s="12"/>
      <c r="NJL23" s="12"/>
      <c r="NJM23" s="12"/>
      <c r="NJN23" s="12"/>
      <c r="NJO23" s="12"/>
      <c r="NJP23" s="12"/>
      <c r="NJQ23" s="12"/>
      <c r="NJR23" s="12"/>
      <c r="NJS23" s="12"/>
      <c r="NJT23" s="12"/>
      <c r="NJU23" s="12"/>
      <c r="NJV23" s="12"/>
      <c r="NJW23" s="12"/>
      <c r="NJX23" s="12"/>
      <c r="NJY23" s="12"/>
      <c r="NJZ23" s="12"/>
      <c r="NKA23" s="12"/>
      <c r="NKB23" s="12"/>
      <c r="NKC23" s="12"/>
      <c r="NKD23" s="12"/>
      <c r="NKE23" s="12"/>
      <c r="NKF23" s="12"/>
      <c r="NKG23" s="12"/>
      <c r="NKH23" s="12"/>
      <c r="NKI23" s="12"/>
      <c r="NKJ23" s="12"/>
      <c r="NKK23" s="12"/>
      <c r="NKL23" s="12"/>
      <c r="NKM23" s="12"/>
      <c r="NKN23" s="12"/>
      <c r="NKO23" s="12"/>
      <c r="NKP23" s="12"/>
      <c r="NKQ23" s="12"/>
      <c r="NKR23" s="12"/>
      <c r="NKS23" s="12"/>
      <c r="NKT23" s="12"/>
      <c r="NKU23" s="12"/>
      <c r="NKV23" s="12"/>
      <c r="NKW23" s="12"/>
      <c r="NKX23" s="12"/>
      <c r="NKY23" s="12"/>
      <c r="NKZ23" s="12"/>
      <c r="NLA23" s="12"/>
      <c r="NLB23" s="12"/>
      <c r="NLC23" s="12"/>
      <c r="NLD23" s="12"/>
      <c r="NLE23" s="12"/>
      <c r="NLF23" s="12"/>
      <c r="NLG23" s="12"/>
      <c r="NLH23" s="12"/>
      <c r="NLI23" s="12"/>
      <c r="NLJ23" s="12"/>
      <c r="NLK23" s="12"/>
      <c r="NLL23" s="12"/>
      <c r="NLM23" s="12"/>
      <c r="NLN23" s="12"/>
      <c r="NLO23" s="12"/>
      <c r="NLP23" s="12"/>
      <c r="NLQ23" s="12"/>
      <c r="NLR23" s="12"/>
      <c r="NLS23" s="12"/>
      <c r="NLT23" s="12"/>
      <c r="NLU23" s="12"/>
      <c r="NLV23" s="12"/>
      <c r="NLW23" s="12"/>
      <c r="NLX23" s="12"/>
      <c r="NLY23" s="12"/>
      <c r="NLZ23" s="12"/>
      <c r="NMA23" s="12"/>
      <c r="NMB23" s="12"/>
      <c r="NMC23" s="12"/>
      <c r="NMD23" s="12"/>
      <c r="NME23" s="12"/>
      <c r="NMF23" s="12"/>
      <c r="NMG23" s="12"/>
      <c r="NMH23" s="12"/>
      <c r="NMI23" s="12"/>
      <c r="NMJ23" s="12"/>
      <c r="NMK23" s="12"/>
      <c r="NML23" s="12"/>
      <c r="NMM23" s="12"/>
      <c r="NMN23" s="12"/>
      <c r="NMO23" s="12"/>
      <c r="NMP23" s="12"/>
      <c r="NMQ23" s="12"/>
      <c r="NMR23" s="12"/>
      <c r="NMS23" s="12"/>
      <c r="NMT23" s="12"/>
      <c r="NMU23" s="12"/>
      <c r="NMV23" s="12"/>
      <c r="NMW23" s="12"/>
      <c r="NMX23" s="12"/>
      <c r="NMY23" s="12"/>
      <c r="NMZ23" s="12"/>
      <c r="NNA23" s="12"/>
      <c r="NNB23" s="12"/>
      <c r="NNC23" s="12"/>
      <c r="NND23" s="12"/>
      <c r="NNE23" s="12"/>
      <c r="NNF23" s="12"/>
      <c r="NNG23" s="12"/>
      <c r="NNH23" s="12"/>
      <c r="NNI23" s="12"/>
      <c r="NNJ23" s="12"/>
      <c r="NNK23" s="12"/>
      <c r="NNL23" s="12"/>
      <c r="NNM23" s="12"/>
      <c r="NNN23" s="12"/>
      <c r="NNO23" s="12"/>
      <c r="NNP23" s="12"/>
      <c r="NNQ23" s="12"/>
      <c r="NNR23" s="12"/>
      <c r="NNS23" s="12"/>
      <c r="NNT23" s="12"/>
      <c r="NNU23" s="12"/>
      <c r="NNV23" s="12"/>
      <c r="NNW23" s="12"/>
      <c r="NNX23" s="12"/>
      <c r="NNY23" s="12"/>
      <c r="NNZ23" s="12"/>
      <c r="NOA23" s="12"/>
      <c r="NOB23" s="12"/>
      <c r="NOC23" s="12"/>
      <c r="NOD23" s="12"/>
      <c r="NOE23" s="12"/>
      <c r="NOF23" s="12"/>
      <c r="NOG23" s="12"/>
      <c r="NOH23" s="12"/>
      <c r="NOI23" s="12"/>
      <c r="NOJ23" s="12"/>
      <c r="NOK23" s="12"/>
      <c r="NOL23" s="12"/>
      <c r="NOM23" s="12"/>
      <c r="NON23" s="12"/>
      <c r="NOO23" s="12"/>
      <c r="NOP23" s="12"/>
      <c r="NOQ23" s="12"/>
      <c r="NOR23" s="12"/>
      <c r="NOS23" s="12"/>
      <c r="NOT23" s="12"/>
      <c r="NOU23" s="12"/>
      <c r="NOV23" s="12"/>
      <c r="NOW23" s="12"/>
      <c r="NOX23" s="12"/>
      <c r="NOY23" s="12"/>
      <c r="NOZ23" s="12"/>
      <c r="NPA23" s="12"/>
      <c r="NPB23" s="12"/>
      <c r="NPC23" s="12"/>
      <c r="NPD23" s="12"/>
      <c r="NPE23" s="12"/>
      <c r="NPF23" s="12"/>
      <c r="NPG23" s="12"/>
      <c r="NPH23" s="12"/>
      <c r="NPI23" s="12"/>
      <c r="NPJ23" s="12"/>
      <c r="NPK23" s="12"/>
      <c r="NPL23" s="12"/>
      <c r="NPM23" s="12"/>
      <c r="NPN23" s="12"/>
      <c r="NPO23" s="12"/>
      <c r="NPP23" s="12"/>
      <c r="NPQ23" s="12"/>
      <c r="NPR23" s="12"/>
      <c r="NPS23" s="12"/>
      <c r="NPT23" s="12"/>
      <c r="NPU23" s="12"/>
      <c r="NPV23" s="12"/>
      <c r="NPW23" s="12"/>
      <c r="NPX23" s="12"/>
      <c r="NPY23" s="12"/>
      <c r="NPZ23" s="12"/>
      <c r="NQA23" s="12"/>
      <c r="NQB23" s="12"/>
      <c r="NQC23" s="12"/>
      <c r="NQD23" s="12"/>
      <c r="NQE23" s="12"/>
      <c r="NQF23" s="12"/>
      <c r="NQG23" s="12"/>
      <c r="NQH23" s="12"/>
      <c r="NQI23" s="12"/>
      <c r="NQJ23" s="12"/>
      <c r="NQK23" s="12"/>
      <c r="NQL23" s="12"/>
      <c r="NQM23" s="12"/>
      <c r="NQN23" s="12"/>
      <c r="NQO23" s="12"/>
      <c r="NQP23" s="12"/>
      <c r="NQQ23" s="12"/>
      <c r="NQR23" s="12"/>
      <c r="NQS23" s="12"/>
      <c r="NQT23" s="12"/>
      <c r="NQU23" s="12"/>
      <c r="NQV23" s="12"/>
      <c r="NQW23" s="12"/>
      <c r="NQX23" s="12"/>
      <c r="NQY23" s="12"/>
      <c r="NQZ23" s="12"/>
      <c r="NRA23" s="12"/>
      <c r="NRB23" s="12"/>
      <c r="NRC23" s="12"/>
      <c r="NRD23" s="12"/>
      <c r="NRE23" s="12"/>
      <c r="NRF23" s="12"/>
      <c r="NRG23" s="12"/>
      <c r="NRH23" s="12"/>
      <c r="NRI23" s="12"/>
      <c r="NRJ23" s="12"/>
      <c r="NRK23" s="12"/>
      <c r="NRL23" s="12"/>
      <c r="NRM23" s="12"/>
      <c r="NRN23" s="12"/>
      <c r="NRO23" s="12"/>
      <c r="NRP23" s="12"/>
      <c r="NRQ23" s="12"/>
      <c r="NRR23" s="12"/>
      <c r="NRS23" s="12"/>
      <c r="NRT23" s="12"/>
      <c r="NRU23" s="12"/>
      <c r="NRV23" s="12"/>
      <c r="NRW23" s="12"/>
      <c r="NRX23" s="12"/>
      <c r="NRY23" s="12"/>
      <c r="NRZ23" s="12"/>
      <c r="NSA23" s="12"/>
      <c r="NSB23" s="12"/>
      <c r="NSC23" s="12"/>
      <c r="NSD23" s="12"/>
      <c r="NSE23" s="12"/>
      <c r="NSF23" s="12"/>
      <c r="NSG23" s="12"/>
      <c r="NSH23" s="12"/>
      <c r="NSI23" s="12"/>
      <c r="NSJ23" s="12"/>
      <c r="NSK23" s="12"/>
      <c r="NSL23" s="12"/>
      <c r="NSM23" s="12"/>
      <c r="NSN23" s="12"/>
      <c r="NSO23" s="12"/>
      <c r="NSP23" s="12"/>
      <c r="NSQ23" s="12"/>
      <c r="NSR23" s="12"/>
      <c r="NSS23" s="12"/>
      <c r="NST23" s="12"/>
      <c r="NSU23" s="12"/>
      <c r="NSV23" s="12"/>
      <c r="NSW23" s="12"/>
      <c r="NSX23" s="12"/>
      <c r="NSY23" s="12"/>
      <c r="NSZ23" s="12"/>
      <c r="NTA23" s="12"/>
      <c r="NTB23" s="12"/>
      <c r="NTC23" s="12"/>
      <c r="NTD23" s="12"/>
      <c r="NTE23" s="12"/>
      <c r="NTF23" s="12"/>
      <c r="NTG23" s="12"/>
      <c r="NTH23" s="12"/>
      <c r="NTI23" s="12"/>
      <c r="NTJ23" s="12"/>
      <c r="NTK23" s="12"/>
      <c r="NTL23" s="12"/>
      <c r="NTM23" s="12"/>
      <c r="NTN23" s="12"/>
      <c r="NTO23" s="12"/>
      <c r="NTP23" s="12"/>
      <c r="NTQ23" s="12"/>
      <c r="NTR23" s="12"/>
      <c r="NTS23" s="12"/>
      <c r="NTT23" s="12"/>
      <c r="NTU23" s="12"/>
      <c r="NTV23" s="12"/>
      <c r="NTW23" s="12"/>
      <c r="NTX23" s="12"/>
      <c r="NTY23" s="12"/>
      <c r="NTZ23" s="12"/>
      <c r="NUA23" s="12"/>
      <c r="NUB23" s="12"/>
      <c r="NUC23" s="12"/>
      <c r="NUD23" s="12"/>
      <c r="NUE23" s="12"/>
      <c r="NUF23" s="12"/>
      <c r="NUG23" s="12"/>
      <c r="NUH23" s="12"/>
      <c r="NUI23" s="12"/>
      <c r="NUJ23" s="12"/>
      <c r="NUK23" s="12"/>
      <c r="NUL23" s="12"/>
      <c r="NUM23" s="12"/>
      <c r="NUN23" s="12"/>
      <c r="NUO23" s="12"/>
      <c r="NUP23" s="12"/>
      <c r="NUQ23" s="12"/>
      <c r="NUR23" s="12"/>
      <c r="NUS23" s="12"/>
      <c r="NUT23" s="12"/>
      <c r="NUU23" s="12"/>
      <c r="NUV23" s="12"/>
      <c r="NUW23" s="12"/>
      <c r="NUX23" s="12"/>
      <c r="NUY23" s="12"/>
      <c r="NUZ23" s="12"/>
      <c r="NVA23" s="12"/>
      <c r="NVB23" s="12"/>
      <c r="NVC23" s="12"/>
      <c r="NVD23" s="12"/>
      <c r="NVE23" s="12"/>
      <c r="NVF23" s="12"/>
      <c r="NVG23" s="12"/>
      <c r="NVH23" s="12"/>
      <c r="NVI23" s="12"/>
      <c r="NVJ23" s="12"/>
      <c r="NVK23" s="12"/>
      <c r="NVL23" s="12"/>
      <c r="NVM23" s="12"/>
      <c r="NVN23" s="12"/>
      <c r="NVO23" s="12"/>
      <c r="NVP23" s="12"/>
      <c r="NVQ23" s="12"/>
      <c r="NVR23" s="12"/>
      <c r="NVS23" s="12"/>
      <c r="NVT23" s="12"/>
      <c r="NVU23" s="12"/>
      <c r="NVV23" s="12"/>
      <c r="NVW23" s="12"/>
      <c r="NVX23" s="12"/>
      <c r="NVY23" s="12"/>
      <c r="NVZ23" s="12"/>
      <c r="NWA23" s="12"/>
      <c r="NWB23" s="12"/>
      <c r="NWC23" s="12"/>
      <c r="NWD23" s="12"/>
      <c r="NWE23" s="12"/>
      <c r="NWF23" s="12"/>
      <c r="NWG23" s="12"/>
      <c r="NWH23" s="12"/>
      <c r="NWI23" s="12"/>
      <c r="NWJ23" s="12"/>
      <c r="NWK23" s="12"/>
      <c r="NWL23" s="12"/>
      <c r="NWM23" s="12"/>
      <c r="NWN23" s="12"/>
      <c r="NWO23" s="12"/>
      <c r="NWP23" s="12"/>
      <c r="NWQ23" s="12"/>
      <c r="NWR23" s="12"/>
      <c r="NWS23" s="12"/>
      <c r="NWT23" s="12"/>
      <c r="NWU23" s="12"/>
      <c r="NWV23" s="12"/>
      <c r="NWW23" s="12"/>
      <c r="NWX23" s="12"/>
      <c r="NWY23" s="12"/>
      <c r="NWZ23" s="12"/>
      <c r="NXA23" s="12"/>
      <c r="NXB23" s="12"/>
      <c r="NXC23" s="12"/>
      <c r="NXD23" s="12"/>
      <c r="NXE23" s="12"/>
      <c r="NXF23" s="12"/>
      <c r="NXG23" s="12"/>
      <c r="NXH23" s="12"/>
      <c r="NXI23" s="12"/>
      <c r="NXJ23" s="12"/>
      <c r="NXK23" s="12"/>
      <c r="NXL23" s="12"/>
      <c r="NXM23" s="12"/>
      <c r="NXN23" s="12"/>
      <c r="NXO23" s="12"/>
      <c r="NXP23" s="12"/>
      <c r="NXQ23" s="12"/>
      <c r="NXR23" s="12"/>
      <c r="NXS23" s="12"/>
      <c r="NXT23" s="12"/>
      <c r="NXU23" s="12"/>
      <c r="NXV23" s="12"/>
      <c r="NXW23" s="12"/>
      <c r="NXX23" s="12"/>
      <c r="NXY23" s="12"/>
      <c r="NXZ23" s="12"/>
      <c r="NYA23" s="12"/>
      <c r="NYB23" s="12"/>
      <c r="NYC23" s="12"/>
      <c r="NYD23" s="12"/>
      <c r="NYE23" s="12"/>
      <c r="NYF23" s="12"/>
      <c r="NYG23" s="12"/>
      <c r="NYH23" s="12"/>
      <c r="NYI23" s="12"/>
      <c r="NYJ23" s="12"/>
      <c r="NYK23" s="12"/>
      <c r="NYL23" s="12"/>
      <c r="NYM23" s="12"/>
      <c r="NYN23" s="12"/>
      <c r="NYO23" s="12"/>
      <c r="NYP23" s="12"/>
      <c r="NYQ23" s="12"/>
      <c r="NYR23" s="12"/>
      <c r="NYS23" s="12"/>
      <c r="NYT23" s="12"/>
      <c r="NYU23" s="12"/>
      <c r="NYV23" s="12"/>
      <c r="NYW23" s="12"/>
      <c r="NYX23" s="12"/>
      <c r="NYY23" s="12"/>
      <c r="NYZ23" s="12"/>
      <c r="NZA23" s="12"/>
      <c r="NZB23" s="12"/>
      <c r="NZC23" s="12"/>
      <c r="NZD23" s="12"/>
      <c r="NZE23" s="12"/>
      <c r="NZF23" s="12"/>
      <c r="NZG23" s="12"/>
      <c r="NZH23" s="12"/>
      <c r="NZI23" s="12"/>
      <c r="NZJ23" s="12"/>
      <c r="NZK23" s="12"/>
      <c r="NZL23" s="12"/>
      <c r="NZM23" s="12"/>
      <c r="NZN23" s="12"/>
      <c r="NZO23" s="12"/>
      <c r="NZP23" s="12"/>
      <c r="NZQ23" s="12"/>
      <c r="NZR23" s="12"/>
      <c r="NZS23" s="12"/>
      <c r="NZT23" s="12"/>
      <c r="NZU23" s="12"/>
      <c r="NZV23" s="12"/>
      <c r="NZW23" s="12"/>
      <c r="NZX23" s="12"/>
      <c r="NZY23" s="12"/>
      <c r="NZZ23" s="12"/>
      <c r="OAA23" s="12"/>
      <c r="OAB23" s="12"/>
      <c r="OAC23" s="12"/>
      <c r="OAD23" s="12"/>
      <c r="OAE23" s="12"/>
      <c r="OAF23" s="12"/>
      <c r="OAG23" s="12"/>
      <c r="OAH23" s="12"/>
      <c r="OAI23" s="12"/>
      <c r="OAJ23" s="12"/>
      <c r="OAK23" s="12"/>
      <c r="OAL23" s="12"/>
      <c r="OAM23" s="12"/>
      <c r="OAN23" s="12"/>
      <c r="OAO23" s="12"/>
      <c r="OAP23" s="12"/>
      <c r="OAQ23" s="12"/>
      <c r="OAR23" s="12"/>
      <c r="OAS23" s="12"/>
      <c r="OAT23" s="12"/>
      <c r="OAU23" s="12"/>
      <c r="OAV23" s="12"/>
      <c r="OAW23" s="12"/>
      <c r="OAX23" s="12"/>
      <c r="OAY23" s="12"/>
      <c r="OAZ23" s="12"/>
      <c r="OBA23" s="12"/>
      <c r="OBB23" s="12"/>
      <c r="OBC23" s="12"/>
      <c r="OBD23" s="12"/>
      <c r="OBE23" s="12"/>
      <c r="OBF23" s="12"/>
      <c r="OBG23" s="12"/>
      <c r="OBH23" s="12"/>
      <c r="OBI23" s="12"/>
      <c r="OBJ23" s="12"/>
      <c r="OBK23" s="12"/>
      <c r="OBL23" s="12"/>
      <c r="OBM23" s="12"/>
      <c r="OBN23" s="12"/>
      <c r="OBO23" s="12"/>
      <c r="OBP23" s="12"/>
      <c r="OBQ23" s="12"/>
      <c r="OBR23" s="12"/>
      <c r="OBS23" s="12"/>
      <c r="OBT23" s="12"/>
      <c r="OBU23" s="12"/>
      <c r="OBV23" s="12"/>
      <c r="OBW23" s="12"/>
      <c r="OBX23" s="12"/>
      <c r="OBY23" s="12"/>
      <c r="OBZ23" s="12"/>
      <c r="OCA23" s="12"/>
      <c r="OCB23" s="12"/>
      <c r="OCC23" s="12"/>
      <c r="OCD23" s="12"/>
      <c r="OCE23" s="12"/>
      <c r="OCF23" s="12"/>
      <c r="OCG23" s="12"/>
      <c r="OCH23" s="12"/>
      <c r="OCI23" s="12"/>
      <c r="OCJ23" s="12"/>
      <c r="OCK23" s="12"/>
      <c r="OCL23" s="12"/>
      <c r="OCM23" s="12"/>
      <c r="OCN23" s="12"/>
      <c r="OCO23" s="12"/>
      <c r="OCP23" s="12"/>
      <c r="OCQ23" s="12"/>
      <c r="OCR23" s="12"/>
      <c r="OCS23" s="12"/>
      <c r="OCT23" s="12"/>
      <c r="OCU23" s="12"/>
      <c r="OCV23" s="12"/>
      <c r="OCW23" s="12"/>
      <c r="OCX23" s="12"/>
      <c r="OCY23" s="12"/>
      <c r="OCZ23" s="12"/>
      <c r="ODA23" s="12"/>
      <c r="ODB23" s="12"/>
      <c r="ODC23" s="12"/>
      <c r="ODD23" s="12"/>
      <c r="ODE23" s="12"/>
      <c r="ODF23" s="12"/>
      <c r="ODG23" s="12"/>
      <c r="ODH23" s="12"/>
      <c r="ODI23" s="12"/>
      <c r="ODJ23" s="12"/>
      <c r="ODK23" s="12"/>
      <c r="ODL23" s="12"/>
      <c r="ODM23" s="12"/>
      <c r="ODN23" s="12"/>
      <c r="ODO23" s="12"/>
      <c r="ODP23" s="12"/>
      <c r="ODQ23" s="12"/>
      <c r="ODR23" s="12"/>
      <c r="ODS23" s="12"/>
      <c r="ODT23" s="12"/>
      <c r="ODU23" s="12"/>
      <c r="ODV23" s="12"/>
      <c r="ODW23" s="12"/>
      <c r="ODX23" s="12"/>
      <c r="ODY23" s="12"/>
      <c r="ODZ23" s="12"/>
      <c r="OEA23" s="12"/>
      <c r="OEB23" s="12"/>
      <c r="OEC23" s="12"/>
      <c r="OED23" s="12"/>
      <c r="OEE23" s="12"/>
      <c r="OEF23" s="12"/>
      <c r="OEG23" s="12"/>
      <c r="OEH23" s="12"/>
      <c r="OEI23" s="12"/>
      <c r="OEJ23" s="12"/>
      <c r="OEK23" s="12"/>
      <c r="OEL23" s="12"/>
      <c r="OEM23" s="12"/>
      <c r="OEN23" s="12"/>
      <c r="OEO23" s="12"/>
      <c r="OEP23" s="12"/>
      <c r="OEQ23" s="12"/>
      <c r="OER23" s="12"/>
      <c r="OES23" s="12"/>
      <c r="OET23" s="12"/>
      <c r="OEU23" s="12"/>
      <c r="OEV23" s="12"/>
      <c r="OEW23" s="12"/>
      <c r="OEX23" s="12"/>
      <c r="OEY23" s="12"/>
      <c r="OEZ23" s="12"/>
      <c r="OFA23" s="12"/>
      <c r="OFB23" s="12"/>
      <c r="OFC23" s="12"/>
      <c r="OFD23" s="12"/>
      <c r="OFE23" s="12"/>
      <c r="OFF23" s="12"/>
      <c r="OFG23" s="12"/>
      <c r="OFH23" s="12"/>
      <c r="OFI23" s="12"/>
      <c r="OFJ23" s="12"/>
      <c r="OFK23" s="12"/>
      <c r="OFL23" s="12"/>
      <c r="OFM23" s="12"/>
      <c r="OFN23" s="12"/>
      <c r="OFO23" s="12"/>
      <c r="OFP23" s="12"/>
      <c r="OFQ23" s="12"/>
      <c r="OFR23" s="12"/>
      <c r="OFS23" s="12"/>
      <c r="OFT23" s="12"/>
      <c r="OFU23" s="12"/>
      <c r="OFV23" s="12"/>
      <c r="OFW23" s="12"/>
      <c r="OFX23" s="12"/>
      <c r="OFY23" s="12"/>
      <c r="OFZ23" s="12"/>
      <c r="OGA23" s="12"/>
      <c r="OGB23" s="12"/>
      <c r="OGC23" s="12"/>
      <c r="OGD23" s="12"/>
      <c r="OGE23" s="12"/>
      <c r="OGF23" s="12"/>
      <c r="OGG23" s="12"/>
      <c r="OGH23" s="12"/>
      <c r="OGI23" s="12"/>
      <c r="OGJ23" s="12"/>
      <c r="OGK23" s="12"/>
      <c r="OGL23" s="12"/>
      <c r="OGM23" s="12"/>
      <c r="OGN23" s="12"/>
      <c r="OGO23" s="12"/>
      <c r="OGP23" s="12"/>
      <c r="OGQ23" s="12"/>
      <c r="OGR23" s="12"/>
      <c r="OGS23" s="12"/>
      <c r="OGT23" s="12"/>
      <c r="OGU23" s="12"/>
      <c r="OGV23" s="12"/>
      <c r="OGW23" s="12"/>
      <c r="OGX23" s="12"/>
      <c r="OGY23" s="12"/>
      <c r="OGZ23" s="12"/>
      <c r="OHA23" s="12"/>
      <c r="OHB23" s="12"/>
      <c r="OHC23" s="12"/>
      <c r="OHD23" s="12"/>
      <c r="OHE23" s="12"/>
      <c r="OHF23" s="12"/>
      <c r="OHG23" s="12"/>
      <c r="OHH23" s="12"/>
      <c r="OHI23" s="12"/>
      <c r="OHJ23" s="12"/>
      <c r="OHK23" s="12"/>
      <c r="OHL23" s="12"/>
      <c r="OHM23" s="12"/>
      <c r="OHN23" s="12"/>
      <c r="OHO23" s="12"/>
      <c r="OHP23" s="12"/>
      <c r="OHQ23" s="12"/>
      <c r="OHR23" s="12"/>
      <c r="OHS23" s="12"/>
      <c r="OHT23" s="12"/>
      <c r="OHU23" s="12"/>
      <c r="OHV23" s="12"/>
      <c r="OHW23" s="12"/>
      <c r="OHX23" s="12"/>
      <c r="OHY23" s="12"/>
      <c r="OHZ23" s="12"/>
      <c r="OIA23" s="12"/>
      <c r="OIB23" s="12"/>
      <c r="OIC23" s="12"/>
      <c r="OID23" s="12"/>
      <c r="OIE23" s="12"/>
      <c r="OIF23" s="12"/>
      <c r="OIG23" s="12"/>
      <c r="OIH23" s="12"/>
      <c r="OII23" s="12"/>
      <c r="OIJ23" s="12"/>
      <c r="OIK23" s="12"/>
      <c r="OIL23" s="12"/>
      <c r="OIM23" s="12"/>
      <c r="OIN23" s="12"/>
      <c r="OIO23" s="12"/>
      <c r="OIP23" s="12"/>
      <c r="OIQ23" s="12"/>
      <c r="OIR23" s="12"/>
      <c r="OIS23" s="12"/>
      <c r="OIT23" s="12"/>
      <c r="OIU23" s="12"/>
      <c r="OIV23" s="12"/>
      <c r="OIW23" s="12"/>
      <c r="OIX23" s="12"/>
      <c r="OIY23" s="12"/>
      <c r="OIZ23" s="12"/>
      <c r="OJA23" s="12"/>
      <c r="OJB23" s="12"/>
      <c r="OJC23" s="12"/>
      <c r="OJD23" s="12"/>
      <c r="OJE23" s="12"/>
      <c r="OJF23" s="12"/>
      <c r="OJG23" s="12"/>
      <c r="OJH23" s="12"/>
      <c r="OJI23" s="12"/>
      <c r="OJJ23" s="12"/>
      <c r="OJK23" s="12"/>
      <c r="OJL23" s="12"/>
      <c r="OJM23" s="12"/>
      <c r="OJN23" s="12"/>
      <c r="OJO23" s="12"/>
      <c r="OJP23" s="12"/>
      <c r="OJQ23" s="12"/>
      <c r="OJR23" s="12"/>
      <c r="OJS23" s="12"/>
      <c r="OJT23" s="12"/>
      <c r="OJU23" s="12"/>
      <c r="OJV23" s="12"/>
      <c r="OJW23" s="12"/>
      <c r="OJX23" s="12"/>
      <c r="OJY23" s="12"/>
      <c r="OJZ23" s="12"/>
      <c r="OKA23" s="12"/>
      <c r="OKB23" s="12"/>
      <c r="OKC23" s="12"/>
      <c r="OKD23" s="12"/>
      <c r="OKE23" s="12"/>
      <c r="OKF23" s="12"/>
      <c r="OKG23" s="12"/>
      <c r="OKH23" s="12"/>
      <c r="OKI23" s="12"/>
      <c r="OKJ23" s="12"/>
      <c r="OKK23" s="12"/>
      <c r="OKL23" s="12"/>
      <c r="OKM23" s="12"/>
      <c r="OKN23" s="12"/>
      <c r="OKO23" s="12"/>
      <c r="OKP23" s="12"/>
      <c r="OKQ23" s="12"/>
      <c r="OKR23" s="12"/>
      <c r="OKS23" s="12"/>
      <c r="OKT23" s="12"/>
      <c r="OKU23" s="12"/>
      <c r="OKV23" s="12"/>
      <c r="OKW23" s="12"/>
      <c r="OKX23" s="12"/>
      <c r="OKY23" s="12"/>
      <c r="OKZ23" s="12"/>
      <c r="OLA23" s="12"/>
      <c r="OLB23" s="12"/>
      <c r="OLC23" s="12"/>
      <c r="OLD23" s="12"/>
      <c r="OLE23" s="12"/>
      <c r="OLF23" s="12"/>
      <c r="OLG23" s="12"/>
      <c r="OLH23" s="12"/>
      <c r="OLI23" s="12"/>
      <c r="OLJ23" s="12"/>
      <c r="OLK23" s="12"/>
      <c r="OLL23" s="12"/>
      <c r="OLM23" s="12"/>
      <c r="OLN23" s="12"/>
      <c r="OLO23" s="12"/>
      <c r="OLP23" s="12"/>
      <c r="OLQ23" s="12"/>
      <c r="OLR23" s="12"/>
      <c r="OLS23" s="12"/>
      <c r="OLT23" s="12"/>
      <c r="OLU23" s="12"/>
      <c r="OLV23" s="12"/>
      <c r="OLW23" s="12"/>
      <c r="OLX23" s="12"/>
      <c r="OLY23" s="12"/>
      <c r="OLZ23" s="12"/>
      <c r="OMA23" s="12"/>
      <c r="OMB23" s="12"/>
      <c r="OMC23" s="12"/>
      <c r="OMD23" s="12"/>
      <c r="OME23" s="12"/>
      <c r="OMF23" s="12"/>
      <c r="OMG23" s="12"/>
      <c r="OMH23" s="12"/>
      <c r="OMI23" s="12"/>
      <c r="OMJ23" s="12"/>
      <c r="OMK23" s="12"/>
      <c r="OML23" s="12"/>
      <c r="OMM23" s="12"/>
      <c r="OMN23" s="12"/>
      <c r="OMO23" s="12"/>
      <c r="OMP23" s="12"/>
      <c r="OMQ23" s="12"/>
      <c r="OMR23" s="12"/>
      <c r="OMS23" s="12"/>
      <c r="OMT23" s="12"/>
      <c r="OMU23" s="12"/>
      <c r="OMV23" s="12"/>
      <c r="OMW23" s="12"/>
      <c r="OMX23" s="12"/>
      <c r="OMY23" s="12"/>
      <c r="OMZ23" s="12"/>
      <c r="ONA23" s="12"/>
      <c r="ONB23" s="12"/>
      <c r="ONC23" s="12"/>
      <c r="OND23" s="12"/>
      <c r="ONE23" s="12"/>
      <c r="ONF23" s="12"/>
      <c r="ONG23" s="12"/>
      <c r="ONH23" s="12"/>
      <c r="ONI23" s="12"/>
      <c r="ONJ23" s="12"/>
      <c r="ONK23" s="12"/>
      <c r="ONL23" s="12"/>
      <c r="ONM23" s="12"/>
      <c r="ONN23" s="12"/>
      <c r="ONO23" s="12"/>
      <c r="ONP23" s="12"/>
      <c r="ONQ23" s="12"/>
      <c r="ONR23" s="12"/>
      <c r="ONS23" s="12"/>
      <c r="ONT23" s="12"/>
      <c r="ONU23" s="12"/>
      <c r="ONV23" s="12"/>
      <c r="ONW23" s="12"/>
      <c r="ONX23" s="12"/>
      <c r="ONY23" s="12"/>
      <c r="ONZ23" s="12"/>
      <c r="OOA23" s="12"/>
      <c r="OOB23" s="12"/>
      <c r="OOC23" s="12"/>
      <c r="OOD23" s="12"/>
      <c r="OOE23" s="12"/>
      <c r="OOF23" s="12"/>
      <c r="OOG23" s="12"/>
      <c r="OOH23" s="12"/>
      <c r="OOI23" s="12"/>
      <c r="OOJ23" s="12"/>
      <c r="OOK23" s="12"/>
      <c r="OOL23" s="12"/>
      <c r="OOM23" s="12"/>
      <c r="OON23" s="12"/>
      <c r="OOO23" s="12"/>
      <c r="OOP23" s="12"/>
      <c r="OOQ23" s="12"/>
      <c r="OOR23" s="12"/>
      <c r="OOS23" s="12"/>
      <c r="OOT23" s="12"/>
      <c r="OOU23" s="12"/>
      <c r="OOV23" s="12"/>
      <c r="OOW23" s="12"/>
      <c r="OOX23" s="12"/>
      <c r="OOY23" s="12"/>
      <c r="OOZ23" s="12"/>
      <c r="OPA23" s="12"/>
      <c r="OPB23" s="12"/>
      <c r="OPC23" s="12"/>
      <c r="OPD23" s="12"/>
      <c r="OPE23" s="12"/>
      <c r="OPF23" s="12"/>
      <c r="OPG23" s="12"/>
      <c r="OPH23" s="12"/>
      <c r="OPI23" s="12"/>
      <c r="OPJ23" s="12"/>
      <c r="OPK23" s="12"/>
      <c r="OPL23" s="12"/>
      <c r="OPM23" s="12"/>
      <c r="OPN23" s="12"/>
      <c r="OPO23" s="12"/>
      <c r="OPP23" s="12"/>
      <c r="OPQ23" s="12"/>
      <c r="OPR23" s="12"/>
      <c r="OPS23" s="12"/>
      <c r="OPT23" s="12"/>
      <c r="OPU23" s="12"/>
      <c r="OPV23" s="12"/>
      <c r="OPW23" s="12"/>
      <c r="OPX23" s="12"/>
      <c r="OPY23" s="12"/>
      <c r="OPZ23" s="12"/>
      <c r="OQA23" s="12"/>
      <c r="OQB23" s="12"/>
      <c r="OQC23" s="12"/>
      <c r="OQD23" s="12"/>
      <c r="OQE23" s="12"/>
      <c r="OQF23" s="12"/>
      <c r="OQG23" s="12"/>
      <c r="OQH23" s="12"/>
      <c r="OQI23" s="12"/>
      <c r="OQJ23" s="12"/>
      <c r="OQK23" s="12"/>
      <c r="OQL23" s="12"/>
      <c r="OQM23" s="12"/>
      <c r="OQN23" s="12"/>
      <c r="OQO23" s="12"/>
      <c r="OQP23" s="12"/>
      <c r="OQQ23" s="12"/>
      <c r="OQR23" s="12"/>
      <c r="OQS23" s="12"/>
      <c r="OQT23" s="12"/>
      <c r="OQU23" s="12"/>
      <c r="OQV23" s="12"/>
      <c r="OQW23" s="12"/>
      <c r="OQX23" s="12"/>
      <c r="OQY23" s="12"/>
      <c r="OQZ23" s="12"/>
      <c r="ORA23" s="12"/>
      <c r="ORB23" s="12"/>
      <c r="ORC23" s="12"/>
      <c r="ORD23" s="12"/>
      <c r="ORE23" s="12"/>
      <c r="ORF23" s="12"/>
      <c r="ORG23" s="12"/>
      <c r="ORH23" s="12"/>
      <c r="ORI23" s="12"/>
      <c r="ORJ23" s="12"/>
      <c r="ORK23" s="12"/>
      <c r="ORL23" s="12"/>
      <c r="ORM23" s="12"/>
      <c r="ORN23" s="12"/>
      <c r="ORO23" s="12"/>
      <c r="ORP23" s="12"/>
      <c r="ORQ23" s="12"/>
      <c r="ORR23" s="12"/>
      <c r="ORS23" s="12"/>
      <c r="ORT23" s="12"/>
      <c r="ORU23" s="12"/>
      <c r="ORV23" s="12"/>
      <c r="ORW23" s="12"/>
      <c r="ORX23" s="12"/>
      <c r="ORY23" s="12"/>
      <c r="ORZ23" s="12"/>
      <c r="OSA23" s="12"/>
      <c r="OSB23" s="12"/>
      <c r="OSC23" s="12"/>
      <c r="OSD23" s="12"/>
      <c r="OSE23" s="12"/>
      <c r="OSF23" s="12"/>
      <c r="OSG23" s="12"/>
      <c r="OSH23" s="12"/>
      <c r="OSI23" s="12"/>
      <c r="OSJ23" s="12"/>
      <c r="OSK23" s="12"/>
      <c r="OSL23" s="12"/>
      <c r="OSM23" s="12"/>
      <c r="OSN23" s="12"/>
      <c r="OSO23" s="12"/>
      <c r="OSP23" s="12"/>
      <c r="OSQ23" s="12"/>
      <c r="OSR23" s="12"/>
      <c r="OSS23" s="12"/>
      <c r="OST23" s="12"/>
      <c r="OSU23" s="12"/>
      <c r="OSV23" s="12"/>
      <c r="OSW23" s="12"/>
      <c r="OSX23" s="12"/>
      <c r="OSY23" s="12"/>
      <c r="OSZ23" s="12"/>
      <c r="OTA23" s="12"/>
      <c r="OTB23" s="12"/>
      <c r="OTC23" s="12"/>
      <c r="OTD23" s="12"/>
      <c r="OTE23" s="12"/>
      <c r="OTF23" s="12"/>
      <c r="OTG23" s="12"/>
      <c r="OTH23" s="12"/>
      <c r="OTI23" s="12"/>
      <c r="OTJ23" s="12"/>
      <c r="OTK23" s="12"/>
      <c r="OTL23" s="12"/>
      <c r="OTM23" s="12"/>
      <c r="OTN23" s="12"/>
      <c r="OTO23" s="12"/>
      <c r="OTP23" s="12"/>
      <c r="OTQ23" s="12"/>
      <c r="OTR23" s="12"/>
      <c r="OTS23" s="12"/>
      <c r="OTT23" s="12"/>
      <c r="OTU23" s="12"/>
      <c r="OTV23" s="12"/>
      <c r="OTW23" s="12"/>
      <c r="OTX23" s="12"/>
      <c r="OTY23" s="12"/>
      <c r="OTZ23" s="12"/>
      <c r="OUA23" s="12"/>
      <c r="OUB23" s="12"/>
      <c r="OUC23" s="12"/>
      <c r="OUD23" s="12"/>
      <c r="OUE23" s="12"/>
      <c r="OUF23" s="12"/>
      <c r="OUG23" s="12"/>
      <c r="OUH23" s="12"/>
      <c r="OUI23" s="12"/>
      <c r="OUJ23" s="12"/>
      <c r="OUK23" s="12"/>
      <c r="OUL23" s="12"/>
      <c r="OUM23" s="12"/>
      <c r="OUN23" s="12"/>
      <c r="OUO23" s="12"/>
      <c r="OUP23" s="12"/>
      <c r="OUQ23" s="12"/>
      <c r="OUR23" s="12"/>
      <c r="OUS23" s="12"/>
      <c r="OUT23" s="12"/>
      <c r="OUU23" s="12"/>
      <c r="OUV23" s="12"/>
      <c r="OUW23" s="12"/>
      <c r="OUX23" s="12"/>
      <c r="OUY23" s="12"/>
      <c r="OUZ23" s="12"/>
      <c r="OVA23" s="12"/>
      <c r="OVB23" s="12"/>
      <c r="OVC23" s="12"/>
      <c r="OVD23" s="12"/>
      <c r="OVE23" s="12"/>
      <c r="OVF23" s="12"/>
      <c r="OVG23" s="12"/>
      <c r="OVH23" s="12"/>
      <c r="OVI23" s="12"/>
      <c r="OVJ23" s="12"/>
      <c r="OVK23" s="12"/>
      <c r="OVL23" s="12"/>
      <c r="OVM23" s="12"/>
      <c r="OVN23" s="12"/>
      <c r="OVO23" s="12"/>
      <c r="OVP23" s="12"/>
      <c r="OVQ23" s="12"/>
      <c r="OVR23" s="12"/>
      <c r="OVS23" s="12"/>
      <c r="OVT23" s="12"/>
      <c r="OVU23" s="12"/>
      <c r="OVV23" s="12"/>
      <c r="OVW23" s="12"/>
      <c r="OVX23" s="12"/>
      <c r="OVY23" s="12"/>
      <c r="OVZ23" s="12"/>
      <c r="OWA23" s="12"/>
      <c r="OWB23" s="12"/>
      <c r="OWC23" s="12"/>
      <c r="OWD23" s="12"/>
      <c r="OWE23" s="12"/>
      <c r="OWF23" s="12"/>
      <c r="OWG23" s="12"/>
      <c r="OWH23" s="12"/>
      <c r="OWI23" s="12"/>
      <c r="OWJ23" s="12"/>
      <c r="OWK23" s="12"/>
      <c r="OWL23" s="12"/>
      <c r="OWM23" s="12"/>
      <c r="OWN23" s="12"/>
      <c r="OWO23" s="12"/>
      <c r="OWP23" s="12"/>
      <c r="OWQ23" s="12"/>
      <c r="OWR23" s="12"/>
      <c r="OWS23" s="12"/>
      <c r="OWT23" s="12"/>
      <c r="OWU23" s="12"/>
      <c r="OWV23" s="12"/>
      <c r="OWW23" s="12"/>
      <c r="OWX23" s="12"/>
      <c r="OWY23" s="12"/>
      <c r="OWZ23" s="12"/>
      <c r="OXA23" s="12"/>
      <c r="OXB23" s="12"/>
      <c r="OXC23" s="12"/>
      <c r="OXD23" s="12"/>
      <c r="OXE23" s="12"/>
      <c r="OXF23" s="12"/>
      <c r="OXG23" s="12"/>
      <c r="OXH23" s="12"/>
      <c r="OXI23" s="12"/>
      <c r="OXJ23" s="12"/>
      <c r="OXK23" s="12"/>
      <c r="OXL23" s="12"/>
      <c r="OXM23" s="12"/>
      <c r="OXN23" s="12"/>
      <c r="OXO23" s="12"/>
      <c r="OXP23" s="12"/>
      <c r="OXQ23" s="12"/>
      <c r="OXR23" s="12"/>
      <c r="OXS23" s="12"/>
      <c r="OXT23" s="12"/>
      <c r="OXU23" s="12"/>
      <c r="OXV23" s="12"/>
      <c r="OXW23" s="12"/>
      <c r="OXX23" s="12"/>
      <c r="OXY23" s="12"/>
      <c r="OXZ23" s="12"/>
      <c r="OYA23" s="12"/>
      <c r="OYB23" s="12"/>
      <c r="OYC23" s="12"/>
      <c r="OYD23" s="12"/>
      <c r="OYE23" s="12"/>
      <c r="OYF23" s="12"/>
      <c r="OYG23" s="12"/>
      <c r="OYH23" s="12"/>
      <c r="OYI23" s="12"/>
      <c r="OYJ23" s="12"/>
      <c r="OYK23" s="12"/>
      <c r="OYL23" s="12"/>
      <c r="OYM23" s="12"/>
      <c r="OYN23" s="12"/>
      <c r="OYO23" s="12"/>
      <c r="OYP23" s="12"/>
      <c r="OYQ23" s="12"/>
      <c r="OYR23" s="12"/>
      <c r="OYS23" s="12"/>
      <c r="OYT23" s="12"/>
      <c r="OYU23" s="12"/>
      <c r="OYV23" s="12"/>
      <c r="OYW23" s="12"/>
      <c r="OYX23" s="12"/>
      <c r="OYY23" s="12"/>
      <c r="OYZ23" s="12"/>
      <c r="OZA23" s="12"/>
      <c r="OZB23" s="12"/>
      <c r="OZC23" s="12"/>
      <c r="OZD23" s="12"/>
      <c r="OZE23" s="12"/>
      <c r="OZF23" s="12"/>
      <c r="OZG23" s="12"/>
      <c r="OZH23" s="12"/>
      <c r="OZI23" s="12"/>
      <c r="OZJ23" s="12"/>
      <c r="OZK23" s="12"/>
      <c r="OZL23" s="12"/>
      <c r="OZM23" s="12"/>
      <c r="OZN23" s="12"/>
      <c r="OZO23" s="12"/>
      <c r="OZP23" s="12"/>
      <c r="OZQ23" s="12"/>
      <c r="OZR23" s="12"/>
      <c r="OZS23" s="12"/>
      <c r="OZT23" s="12"/>
      <c r="OZU23" s="12"/>
      <c r="OZV23" s="12"/>
      <c r="OZW23" s="12"/>
      <c r="OZX23" s="12"/>
      <c r="OZY23" s="12"/>
      <c r="OZZ23" s="12"/>
      <c r="PAA23" s="12"/>
      <c r="PAB23" s="12"/>
      <c r="PAC23" s="12"/>
      <c r="PAD23" s="12"/>
      <c r="PAE23" s="12"/>
      <c r="PAF23" s="12"/>
      <c r="PAG23" s="12"/>
      <c r="PAH23" s="12"/>
      <c r="PAI23" s="12"/>
      <c r="PAJ23" s="12"/>
      <c r="PAK23" s="12"/>
      <c r="PAL23" s="12"/>
      <c r="PAM23" s="12"/>
      <c r="PAN23" s="12"/>
      <c r="PAO23" s="12"/>
      <c r="PAP23" s="12"/>
      <c r="PAQ23" s="12"/>
      <c r="PAR23" s="12"/>
      <c r="PAS23" s="12"/>
      <c r="PAT23" s="12"/>
      <c r="PAU23" s="12"/>
      <c r="PAV23" s="12"/>
      <c r="PAW23" s="12"/>
      <c r="PAX23" s="12"/>
      <c r="PAY23" s="12"/>
      <c r="PAZ23" s="12"/>
      <c r="PBA23" s="12"/>
      <c r="PBB23" s="12"/>
      <c r="PBC23" s="12"/>
      <c r="PBD23" s="12"/>
      <c r="PBE23" s="12"/>
      <c r="PBF23" s="12"/>
      <c r="PBG23" s="12"/>
      <c r="PBH23" s="12"/>
      <c r="PBI23" s="12"/>
      <c r="PBJ23" s="12"/>
      <c r="PBK23" s="12"/>
      <c r="PBL23" s="12"/>
      <c r="PBM23" s="12"/>
      <c r="PBN23" s="12"/>
      <c r="PBO23" s="12"/>
      <c r="PBP23" s="12"/>
      <c r="PBQ23" s="12"/>
      <c r="PBR23" s="12"/>
      <c r="PBS23" s="12"/>
      <c r="PBT23" s="12"/>
      <c r="PBU23" s="12"/>
      <c r="PBV23" s="12"/>
      <c r="PBW23" s="12"/>
      <c r="PBX23" s="12"/>
      <c r="PBY23" s="12"/>
      <c r="PBZ23" s="12"/>
      <c r="PCA23" s="12"/>
      <c r="PCB23" s="12"/>
      <c r="PCC23" s="12"/>
      <c r="PCD23" s="12"/>
      <c r="PCE23" s="12"/>
      <c r="PCF23" s="12"/>
      <c r="PCG23" s="12"/>
      <c r="PCH23" s="12"/>
      <c r="PCI23" s="12"/>
      <c r="PCJ23" s="12"/>
      <c r="PCK23" s="12"/>
      <c r="PCL23" s="12"/>
      <c r="PCM23" s="12"/>
      <c r="PCN23" s="12"/>
      <c r="PCO23" s="12"/>
      <c r="PCP23" s="12"/>
      <c r="PCQ23" s="12"/>
      <c r="PCR23" s="12"/>
      <c r="PCS23" s="12"/>
      <c r="PCT23" s="12"/>
      <c r="PCU23" s="12"/>
      <c r="PCV23" s="12"/>
      <c r="PCW23" s="12"/>
      <c r="PCX23" s="12"/>
      <c r="PCY23" s="12"/>
      <c r="PCZ23" s="12"/>
      <c r="PDA23" s="12"/>
      <c r="PDB23" s="12"/>
      <c r="PDC23" s="12"/>
      <c r="PDD23" s="12"/>
      <c r="PDE23" s="12"/>
      <c r="PDF23" s="12"/>
      <c r="PDG23" s="12"/>
      <c r="PDH23" s="12"/>
      <c r="PDI23" s="12"/>
      <c r="PDJ23" s="12"/>
      <c r="PDK23" s="12"/>
      <c r="PDL23" s="12"/>
      <c r="PDM23" s="12"/>
      <c r="PDN23" s="12"/>
      <c r="PDO23" s="12"/>
      <c r="PDP23" s="12"/>
      <c r="PDQ23" s="12"/>
      <c r="PDR23" s="12"/>
      <c r="PDS23" s="12"/>
      <c r="PDT23" s="12"/>
      <c r="PDU23" s="12"/>
      <c r="PDV23" s="12"/>
      <c r="PDW23" s="12"/>
      <c r="PDX23" s="12"/>
      <c r="PDY23" s="12"/>
      <c r="PDZ23" s="12"/>
      <c r="PEA23" s="12"/>
      <c r="PEB23" s="12"/>
      <c r="PEC23" s="12"/>
      <c r="PED23" s="12"/>
      <c r="PEE23" s="12"/>
      <c r="PEF23" s="12"/>
      <c r="PEG23" s="12"/>
      <c r="PEH23" s="12"/>
      <c r="PEI23" s="12"/>
      <c r="PEJ23" s="12"/>
      <c r="PEK23" s="12"/>
      <c r="PEL23" s="12"/>
      <c r="PEM23" s="12"/>
      <c r="PEN23" s="12"/>
      <c r="PEO23" s="12"/>
      <c r="PEP23" s="12"/>
      <c r="PEQ23" s="12"/>
      <c r="PER23" s="12"/>
      <c r="PES23" s="12"/>
      <c r="PET23" s="12"/>
      <c r="PEU23" s="12"/>
      <c r="PEV23" s="12"/>
      <c r="PEW23" s="12"/>
      <c r="PEX23" s="12"/>
      <c r="PEY23" s="12"/>
      <c r="PEZ23" s="12"/>
      <c r="PFA23" s="12"/>
      <c r="PFB23" s="12"/>
      <c r="PFC23" s="12"/>
      <c r="PFD23" s="12"/>
      <c r="PFE23" s="12"/>
      <c r="PFF23" s="12"/>
      <c r="PFG23" s="12"/>
      <c r="PFH23" s="12"/>
      <c r="PFI23" s="12"/>
      <c r="PFJ23" s="12"/>
      <c r="PFK23" s="12"/>
      <c r="PFL23" s="12"/>
      <c r="PFM23" s="12"/>
      <c r="PFN23" s="12"/>
      <c r="PFO23" s="12"/>
      <c r="PFP23" s="12"/>
      <c r="PFQ23" s="12"/>
      <c r="PFR23" s="12"/>
      <c r="PFS23" s="12"/>
      <c r="PFT23" s="12"/>
      <c r="PFU23" s="12"/>
      <c r="PFV23" s="12"/>
      <c r="PFW23" s="12"/>
      <c r="PFX23" s="12"/>
      <c r="PFY23" s="12"/>
      <c r="PFZ23" s="12"/>
      <c r="PGA23" s="12"/>
      <c r="PGB23" s="12"/>
      <c r="PGC23" s="12"/>
      <c r="PGD23" s="12"/>
      <c r="PGE23" s="12"/>
      <c r="PGF23" s="12"/>
      <c r="PGG23" s="12"/>
      <c r="PGH23" s="12"/>
      <c r="PGI23" s="12"/>
      <c r="PGJ23" s="12"/>
      <c r="PGK23" s="12"/>
      <c r="PGL23" s="12"/>
      <c r="PGM23" s="12"/>
      <c r="PGN23" s="12"/>
      <c r="PGO23" s="12"/>
      <c r="PGP23" s="12"/>
      <c r="PGQ23" s="12"/>
      <c r="PGR23" s="12"/>
      <c r="PGS23" s="12"/>
      <c r="PGT23" s="12"/>
      <c r="PGU23" s="12"/>
      <c r="PGV23" s="12"/>
      <c r="PGW23" s="12"/>
      <c r="PGX23" s="12"/>
      <c r="PGY23" s="12"/>
      <c r="PGZ23" s="12"/>
      <c r="PHA23" s="12"/>
      <c r="PHB23" s="12"/>
      <c r="PHC23" s="12"/>
      <c r="PHD23" s="12"/>
      <c r="PHE23" s="12"/>
      <c r="PHF23" s="12"/>
      <c r="PHG23" s="12"/>
      <c r="PHH23" s="12"/>
      <c r="PHI23" s="12"/>
      <c r="PHJ23" s="12"/>
      <c r="PHK23" s="12"/>
      <c r="PHL23" s="12"/>
      <c r="PHM23" s="12"/>
      <c r="PHN23" s="12"/>
      <c r="PHO23" s="12"/>
      <c r="PHP23" s="12"/>
      <c r="PHQ23" s="12"/>
      <c r="PHR23" s="12"/>
      <c r="PHS23" s="12"/>
      <c r="PHT23" s="12"/>
      <c r="PHU23" s="12"/>
      <c r="PHV23" s="12"/>
      <c r="PHW23" s="12"/>
      <c r="PHX23" s="12"/>
      <c r="PHY23" s="12"/>
      <c r="PHZ23" s="12"/>
      <c r="PIA23" s="12"/>
      <c r="PIB23" s="12"/>
      <c r="PIC23" s="12"/>
      <c r="PID23" s="12"/>
      <c r="PIE23" s="12"/>
      <c r="PIF23" s="12"/>
      <c r="PIG23" s="12"/>
      <c r="PIH23" s="12"/>
      <c r="PII23" s="12"/>
      <c r="PIJ23" s="12"/>
      <c r="PIK23" s="12"/>
      <c r="PIL23" s="12"/>
      <c r="PIM23" s="12"/>
      <c r="PIN23" s="12"/>
      <c r="PIO23" s="12"/>
      <c r="PIP23" s="12"/>
      <c r="PIQ23" s="12"/>
      <c r="PIR23" s="12"/>
      <c r="PIS23" s="12"/>
      <c r="PIT23" s="12"/>
      <c r="PIU23" s="12"/>
      <c r="PIV23" s="12"/>
      <c r="PIW23" s="12"/>
      <c r="PIX23" s="12"/>
      <c r="PIY23" s="12"/>
      <c r="PIZ23" s="12"/>
      <c r="PJA23" s="12"/>
      <c r="PJB23" s="12"/>
      <c r="PJC23" s="12"/>
      <c r="PJD23" s="12"/>
      <c r="PJE23" s="12"/>
      <c r="PJF23" s="12"/>
      <c r="PJG23" s="12"/>
      <c r="PJH23" s="12"/>
      <c r="PJI23" s="12"/>
      <c r="PJJ23" s="12"/>
      <c r="PJK23" s="12"/>
      <c r="PJL23" s="12"/>
      <c r="PJM23" s="12"/>
      <c r="PJN23" s="12"/>
      <c r="PJO23" s="12"/>
      <c r="PJP23" s="12"/>
      <c r="PJQ23" s="12"/>
      <c r="PJR23" s="12"/>
      <c r="PJS23" s="12"/>
      <c r="PJT23" s="12"/>
      <c r="PJU23" s="12"/>
      <c r="PJV23" s="12"/>
      <c r="PJW23" s="12"/>
      <c r="PJX23" s="12"/>
      <c r="PJY23" s="12"/>
      <c r="PJZ23" s="12"/>
      <c r="PKA23" s="12"/>
      <c r="PKB23" s="12"/>
      <c r="PKC23" s="12"/>
      <c r="PKD23" s="12"/>
      <c r="PKE23" s="12"/>
      <c r="PKF23" s="12"/>
      <c r="PKG23" s="12"/>
      <c r="PKH23" s="12"/>
      <c r="PKI23" s="12"/>
      <c r="PKJ23" s="12"/>
      <c r="PKK23" s="12"/>
      <c r="PKL23" s="12"/>
      <c r="PKM23" s="12"/>
      <c r="PKN23" s="12"/>
      <c r="PKO23" s="12"/>
      <c r="PKP23" s="12"/>
      <c r="PKQ23" s="12"/>
      <c r="PKR23" s="12"/>
      <c r="PKS23" s="12"/>
      <c r="PKT23" s="12"/>
      <c r="PKU23" s="12"/>
      <c r="PKV23" s="12"/>
      <c r="PKW23" s="12"/>
      <c r="PKX23" s="12"/>
      <c r="PKY23" s="12"/>
      <c r="PKZ23" s="12"/>
      <c r="PLA23" s="12"/>
      <c r="PLB23" s="12"/>
      <c r="PLC23" s="12"/>
      <c r="PLD23" s="12"/>
      <c r="PLE23" s="12"/>
      <c r="PLF23" s="12"/>
      <c r="PLG23" s="12"/>
      <c r="PLH23" s="12"/>
      <c r="PLI23" s="12"/>
      <c r="PLJ23" s="12"/>
      <c r="PLK23" s="12"/>
      <c r="PLL23" s="12"/>
      <c r="PLM23" s="12"/>
      <c r="PLN23" s="12"/>
      <c r="PLO23" s="12"/>
      <c r="PLP23" s="12"/>
      <c r="PLQ23" s="12"/>
      <c r="PLR23" s="12"/>
      <c r="PLS23" s="12"/>
      <c r="PLT23" s="12"/>
      <c r="PLU23" s="12"/>
      <c r="PLV23" s="12"/>
      <c r="PLW23" s="12"/>
      <c r="PLX23" s="12"/>
      <c r="PLY23" s="12"/>
      <c r="PLZ23" s="12"/>
      <c r="PMA23" s="12"/>
      <c r="PMB23" s="12"/>
      <c r="PMC23" s="12"/>
      <c r="PMD23" s="12"/>
      <c r="PME23" s="12"/>
      <c r="PMF23" s="12"/>
      <c r="PMG23" s="12"/>
      <c r="PMH23" s="12"/>
      <c r="PMI23" s="12"/>
      <c r="PMJ23" s="12"/>
      <c r="PMK23" s="12"/>
      <c r="PML23" s="12"/>
      <c r="PMM23" s="12"/>
      <c r="PMN23" s="12"/>
      <c r="PMO23" s="12"/>
      <c r="PMP23" s="12"/>
      <c r="PMQ23" s="12"/>
      <c r="PMR23" s="12"/>
      <c r="PMS23" s="12"/>
      <c r="PMT23" s="12"/>
      <c r="PMU23" s="12"/>
      <c r="PMV23" s="12"/>
      <c r="PMW23" s="12"/>
      <c r="PMX23" s="12"/>
      <c r="PMY23" s="12"/>
      <c r="PMZ23" s="12"/>
      <c r="PNA23" s="12"/>
      <c r="PNB23" s="12"/>
      <c r="PNC23" s="12"/>
      <c r="PND23" s="12"/>
      <c r="PNE23" s="12"/>
      <c r="PNF23" s="12"/>
      <c r="PNG23" s="12"/>
      <c r="PNH23" s="12"/>
      <c r="PNI23" s="12"/>
      <c r="PNJ23" s="12"/>
      <c r="PNK23" s="12"/>
      <c r="PNL23" s="12"/>
      <c r="PNM23" s="12"/>
      <c r="PNN23" s="12"/>
      <c r="PNO23" s="12"/>
      <c r="PNP23" s="12"/>
      <c r="PNQ23" s="12"/>
      <c r="PNR23" s="12"/>
      <c r="PNS23" s="12"/>
      <c r="PNT23" s="12"/>
      <c r="PNU23" s="12"/>
      <c r="PNV23" s="12"/>
      <c r="PNW23" s="12"/>
      <c r="PNX23" s="12"/>
      <c r="PNY23" s="12"/>
      <c r="PNZ23" s="12"/>
      <c r="POA23" s="12"/>
      <c r="POB23" s="12"/>
      <c r="POC23" s="12"/>
      <c r="POD23" s="12"/>
      <c r="POE23" s="12"/>
      <c r="POF23" s="12"/>
      <c r="POG23" s="12"/>
      <c r="POH23" s="12"/>
      <c r="POI23" s="12"/>
      <c r="POJ23" s="12"/>
      <c r="POK23" s="12"/>
      <c r="POL23" s="12"/>
      <c r="POM23" s="12"/>
      <c r="PON23" s="12"/>
      <c r="POO23" s="12"/>
      <c r="POP23" s="12"/>
      <c r="POQ23" s="12"/>
      <c r="POR23" s="12"/>
      <c r="POS23" s="12"/>
      <c r="POT23" s="12"/>
      <c r="POU23" s="12"/>
      <c r="POV23" s="12"/>
      <c r="POW23" s="12"/>
      <c r="POX23" s="12"/>
      <c r="POY23" s="12"/>
      <c r="POZ23" s="12"/>
      <c r="PPA23" s="12"/>
      <c r="PPB23" s="12"/>
      <c r="PPC23" s="12"/>
      <c r="PPD23" s="12"/>
      <c r="PPE23" s="12"/>
      <c r="PPF23" s="12"/>
      <c r="PPG23" s="12"/>
      <c r="PPH23" s="12"/>
      <c r="PPI23" s="12"/>
      <c r="PPJ23" s="12"/>
      <c r="PPK23" s="12"/>
      <c r="PPL23" s="12"/>
      <c r="PPM23" s="12"/>
      <c r="PPN23" s="12"/>
      <c r="PPO23" s="12"/>
      <c r="PPP23" s="12"/>
      <c r="PPQ23" s="12"/>
      <c r="PPR23" s="12"/>
      <c r="PPS23" s="12"/>
      <c r="PPT23" s="12"/>
      <c r="PPU23" s="12"/>
      <c r="PPV23" s="12"/>
      <c r="PPW23" s="12"/>
      <c r="PPX23" s="12"/>
      <c r="PPY23" s="12"/>
      <c r="PPZ23" s="12"/>
      <c r="PQA23" s="12"/>
      <c r="PQB23" s="12"/>
      <c r="PQC23" s="12"/>
      <c r="PQD23" s="12"/>
      <c r="PQE23" s="12"/>
      <c r="PQF23" s="12"/>
      <c r="PQG23" s="12"/>
      <c r="PQH23" s="12"/>
      <c r="PQI23" s="12"/>
      <c r="PQJ23" s="12"/>
      <c r="PQK23" s="12"/>
      <c r="PQL23" s="12"/>
      <c r="PQM23" s="12"/>
      <c r="PQN23" s="12"/>
      <c r="PQO23" s="12"/>
      <c r="PQP23" s="12"/>
      <c r="PQQ23" s="12"/>
      <c r="PQR23" s="12"/>
      <c r="PQS23" s="12"/>
      <c r="PQT23" s="12"/>
      <c r="PQU23" s="12"/>
      <c r="PQV23" s="12"/>
      <c r="PQW23" s="12"/>
      <c r="PQX23" s="12"/>
      <c r="PQY23" s="12"/>
      <c r="PQZ23" s="12"/>
      <c r="PRA23" s="12"/>
      <c r="PRB23" s="12"/>
      <c r="PRC23" s="12"/>
      <c r="PRD23" s="12"/>
      <c r="PRE23" s="12"/>
      <c r="PRF23" s="12"/>
      <c r="PRG23" s="12"/>
      <c r="PRH23" s="12"/>
      <c r="PRI23" s="12"/>
      <c r="PRJ23" s="12"/>
      <c r="PRK23" s="12"/>
      <c r="PRL23" s="12"/>
      <c r="PRM23" s="12"/>
      <c r="PRN23" s="12"/>
      <c r="PRO23" s="12"/>
      <c r="PRP23" s="12"/>
      <c r="PRQ23" s="12"/>
      <c r="PRR23" s="12"/>
      <c r="PRS23" s="12"/>
      <c r="PRT23" s="12"/>
      <c r="PRU23" s="12"/>
      <c r="PRV23" s="12"/>
      <c r="PRW23" s="12"/>
      <c r="PRX23" s="12"/>
      <c r="PRY23" s="12"/>
      <c r="PRZ23" s="12"/>
      <c r="PSA23" s="12"/>
      <c r="PSB23" s="12"/>
      <c r="PSC23" s="12"/>
      <c r="PSD23" s="12"/>
      <c r="PSE23" s="12"/>
      <c r="PSF23" s="12"/>
      <c r="PSG23" s="12"/>
      <c r="PSH23" s="12"/>
      <c r="PSI23" s="12"/>
      <c r="PSJ23" s="12"/>
      <c r="PSK23" s="12"/>
      <c r="PSL23" s="12"/>
      <c r="PSM23" s="12"/>
      <c r="PSN23" s="12"/>
      <c r="PSO23" s="12"/>
      <c r="PSP23" s="12"/>
      <c r="PSQ23" s="12"/>
      <c r="PSR23" s="12"/>
      <c r="PSS23" s="12"/>
      <c r="PST23" s="12"/>
      <c r="PSU23" s="12"/>
      <c r="PSV23" s="12"/>
      <c r="PSW23" s="12"/>
      <c r="PSX23" s="12"/>
      <c r="PSY23" s="12"/>
      <c r="PSZ23" s="12"/>
      <c r="PTA23" s="12"/>
      <c r="PTB23" s="12"/>
      <c r="PTC23" s="12"/>
      <c r="PTD23" s="12"/>
      <c r="PTE23" s="12"/>
      <c r="PTF23" s="12"/>
      <c r="PTG23" s="12"/>
      <c r="PTH23" s="12"/>
      <c r="PTI23" s="12"/>
      <c r="PTJ23" s="12"/>
      <c r="PTK23" s="12"/>
      <c r="PTL23" s="12"/>
      <c r="PTM23" s="12"/>
      <c r="PTN23" s="12"/>
      <c r="PTO23" s="12"/>
      <c r="PTP23" s="12"/>
      <c r="PTQ23" s="12"/>
      <c r="PTR23" s="12"/>
      <c r="PTS23" s="12"/>
      <c r="PTT23" s="12"/>
      <c r="PTU23" s="12"/>
      <c r="PTV23" s="12"/>
      <c r="PTW23" s="12"/>
      <c r="PTX23" s="12"/>
      <c r="PTY23" s="12"/>
      <c r="PTZ23" s="12"/>
      <c r="PUA23" s="12"/>
      <c r="PUB23" s="12"/>
      <c r="PUC23" s="12"/>
      <c r="PUD23" s="12"/>
      <c r="PUE23" s="12"/>
      <c r="PUF23" s="12"/>
      <c r="PUG23" s="12"/>
      <c r="PUH23" s="12"/>
      <c r="PUI23" s="12"/>
      <c r="PUJ23" s="12"/>
      <c r="PUK23" s="12"/>
      <c r="PUL23" s="12"/>
      <c r="PUM23" s="12"/>
      <c r="PUN23" s="12"/>
      <c r="PUO23" s="12"/>
      <c r="PUP23" s="12"/>
      <c r="PUQ23" s="12"/>
      <c r="PUR23" s="12"/>
      <c r="PUS23" s="12"/>
      <c r="PUT23" s="12"/>
      <c r="PUU23" s="12"/>
      <c r="PUV23" s="12"/>
      <c r="PUW23" s="12"/>
      <c r="PUX23" s="12"/>
      <c r="PUY23" s="12"/>
      <c r="PUZ23" s="12"/>
      <c r="PVA23" s="12"/>
      <c r="PVB23" s="12"/>
      <c r="PVC23" s="12"/>
      <c r="PVD23" s="12"/>
      <c r="PVE23" s="12"/>
      <c r="PVF23" s="12"/>
      <c r="PVG23" s="12"/>
      <c r="PVH23" s="12"/>
      <c r="PVI23" s="12"/>
      <c r="PVJ23" s="12"/>
      <c r="PVK23" s="12"/>
      <c r="PVL23" s="12"/>
      <c r="PVM23" s="12"/>
      <c r="PVN23" s="12"/>
      <c r="PVO23" s="12"/>
      <c r="PVP23" s="12"/>
      <c r="PVQ23" s="12"/>
      <c r="PVR23" s="12"/>
      <c r="PVS23" s="12"/>
      <c r="PVT23" s="12"/>
      <c r="PVU23" s="12"/>
      <c r="PVV23" s="12"/>
      <c r="PVW23" s="12"/>
      <c r="PVX23" s="12"/>
      <c r="PVY23" s="12"/>
      <c r="PVZ23" s="12"/>
      <c r="PWA23" s="12"/>
      <c r="PWB23" s="12"/>
      <c r="PWC23" s="12"/>
      <c r="PWD23" s="12"/>
      <c r="PWE23" s="12"/>
      <c r="PWF23" s="12"/>
      <c r="PWG23" s="12"/>
      <c r="PWH23" s="12"/>
      <c r="PWI23" s="12"/>
      <c r="PWJ23" s="12"/>
      <c r="PWK23" s="12"/>
      <c r="PWL23" s="12"/>
      <c r="PWM23" s="12"/>
      <c r="PWN23" s="12"/>
      <c r="PWO23" s="12"/>
      <c r="PWP23" s="12"/>
      <c r="PWQ23" s="12"/>
      <c r="PWR23" s="12"/>
      <c r="PWS23" s="12"/>
      <c r="PWT23" s="12"/>
      <c r="PWU23" s="12"/>
      <c r="PWV23" s="12"/>
      <c r="PWW23" s="12"/>
      <c r="PWX23" s="12"/>
      <c r="PWY23" s="12"/>
      <c r="PWZ23" s="12"/>
      <c r="PXA23" s="12"/>
      <c r="PXB23" s="12"/>
      <c r="PXC23" s="12"/>
      <c r="PXD23" s="12"/>
      <c r="PXE23" s="12"/>
      <c r="PXF23" s="12"/>
      <c r="PXG23" s="12"/>
      <c r="PXH23" s="12"/>
      <c r="PXI23" s="12"/>
      <c r="PXJ23" s="12"/>
      <c r="PXK23" s="12"/>
      <c r="PXL23" s="12"/>
      <c r="PXM23" s="12"/>
      <c r="PXN23" s="12"/>
      <c r="PXO23" s="12"/>
      <c r="PXP23" s="12"/>
      <c r="PXQ23" s="12"/>
      <c r="PXR23" s="12"/>
      <c r="PXS23" s="12"/>
      <c r="PXT23" s="12"/>
      <c r="PXU23" s="12"/>
      <c r="PXV23" s="12"/>
      <c r="PXW23" s="12"/>
      <c r="PXX23" s="12"/>
      <c r="PXY23" s="12"/>
      <c r="PXZ23" s="12"/>
      <c r="PYA23" s="12"/>
      <c r="PYB23" s="12"/>
      <c r="PYC23" s="12"/>
      <c r="PYD23" s="12"/>
      <c r="PYE23" s="12"/>
      <c r="PYF23" s="12"/>
      <c r="PYG23" s="12"/>
      <c r="PYH23" s="12"/>
      <c r="PYI23" s="12"/>
      <c r="PYJ23" s="12"/>
      <c r="PYK23" s="12"/>
      <c r="PYL23" s="12"/>
      <c r="PYM23" s="12"/>
      <c r="PYN23" s="12"/>
      <c r="PYO23" s="12"/>
      <c r="PYP23" s="12"/>
      <c r="PYQ23" s="12"/>
      <c r="PYR23" s="12"/>
      <c r="PYS23" s="12"/>
      <c r="PYT23" s="12"/>
      <c r="PYU23" s="12"/>
      <c r="PYV23" s="12"/>
      <c r="PYW23" s="12"/>
      <c r="PYX23" s="12"/>
      <c r="PYY23" s="12"/>
      <c r="PYZ23" s="12"/>
      <c r="PZA23" s="12"/>
      <c r="PZB23" s="12"/>
      <c r="PZC23" s="12"/>
      <c r="PZD23" s="12"/>
      <c r="PZE23" s="12"/>
      <c r="PZF23" s="12"/>
      <c r="PZG23" s="12"/>
      <c r="PZH23" s="12"/>
      <c r="PZI23" s="12"/>
      <c r="PZJ23" s="12"/>
      <c r="PZK23" s="12"/>
      <c r="PZL23" s="12"/>
      <c r="PZM23" s="12"/>
      <c r="PZN23" s="12"/>
      <c r="PZO23" s="12"/>
      <c r="PZP23" s="12"/>
      <c r="PZQ23" s="12"/>
      <c r="PZR23" s="12"/>
      <c r="PZS23" s="12"/>
      <c r="PZT23" s="12"/>
      <c r="PZU23" s="12"/>
      <c r="PZV23" s="12"/>
      <c r="PZW23" s="12"/>
      <c r="PZX23" s="12"/>
      <c r="PZY23" s="12"/>
      <c r="PZZ23" s="12"/>
      <c r="QAA23" s="12"/>
      <c r="QAB23" s="12"/>
      <c r="QAC23" s="12"/>
      <c r="QAD23" s="12"/>
      <c r="QAE23" s="12"/>
      <c r="QAF23" s="12"/>
      <c r="QAG23" s="12"/>
      <c r="QAH23" s="12"/>
      <c r="QAI23" s="12"/>
      <c r="QAJ23" s="12"/>
      <c r="QAK23" s="12"/>
      <c r="QAL23" s="12"/>
      <c r="QAM23" s="12"/>
      <c r="QAN23" s="12"/>
      <c r="QAO23" s="12"/>
      <c r="QAP23" s="12"/>
      <c r="QAQ23" s="12"/>
      <c r="QAR23" s="12"/>
      <c r="QAS23" s="12"/>
      <c r="QAT23" s="12"/>
      <c r="QAU23" s="12"/>
      <c r="QAV23" s="12"/>
      <c r="QAW23" s="12"/>
      <c r="QAX23" s="12"/>
      <c r="QAY23" s="12"/>
      <c r="QAZ23" s="12"/>
      <c r="QBA23" s="12"/>
      <c r="QBB23" s="12"/>
      <c r="QBC23" s="12"/>
      <c r="QBD23" s="12"/>
      <c r="QBE23" s="12"/>
      <c r="QBF23" s="12"/>
      <c r="QBG23" s="12"/>
      <c r="QBH23" s="12"/>
      <c r="QBI23" s="12"/>
      <c r="QBJ23" s="12"/>
      <c r="QBK23" s="12"/>
      <c r="QBL23" s="12"/>
      <c r="QBM23" s="12"/>
      <c r="QBN23" s="12"/>
      <c r="QBO23" s="12"/>
      <c r="QBP23" s="12"/>
      <c r="QBQ23" s="12"/>
      <c r="QBR23" s="12"/>
      <c r="QBS23" s="12"/>
      <c r="QBT23" s="12"/>
      <c r="QBU23" s="12"/>
      <c r="QBV23" s="12"/>
      <c r="QBW23" s="12"/>
      <c r="QBX23" s="12"/>
      <c r="QBY23" s="12"/>
      <c r="QBZ23" s="12"/>
      <c r="QCA23" s="12"/>
      <c r="QCB23" s="12"/>
      <c r="QCC23" s="12"/>
      <c r="QCD23" s="12"/>
      <c r="QCE23" s="12"/>
      <c r="QCF23" s="12"/>
      <c r="QCG23" s="12"/>
      <c r="QCH23" s="12"/>
      <c r="QCI23" s="12"/>
      <c r="QCJ23" s="12"/>
      <c r="QCK23" s="12"/>
      <c r="QCL23" s="12"/>
      <c r="QCM23" s="12"/>
      <c r="QCN23" s="12"/>
      <c r="QCO23" s="12"/>
      <c r="QCP23" s="12"/>
      <c r="QCQ23" s="12"/>
      <c r="QCR23" s="12"/>
      <c r="QCS23" s="12"/>
      <c r="QCT23" s="12"/>
      <c r="QCU23" s="12"/>
      <c r="QCV23" s="12"/>
      <c r="QCW23" s="12"/>
      <c r="QCX23" s="12"/>
      <c r="QCY23" s="12"/>
      <c r="QCZ23" s="12"/>
      <c r="QDA23" s="12"/>
      <c r="QDB23" s="12"/>
      <c r="QDC23" s="12"/>
      <c r="QDD23" s="12"/>
      <c r="QDE23" s="12"/>
      <c r="QDF23" s="12"/>
      <c r="QDG23" s="12"/>
      <c r="QDH23" s="12"/>
      <c r="QDI23" s="12"/>
      <c r="QDJ23" s="12"/>
      <c r="QDK23" s="12"/>
      <c r="QDL23" s="12"/>
      <c r="QDM23" s="12"/>
      <c r="QDN23" s="12"/>
      <c r="QDO23" s="12"/>
      <c r="QDP23" s="12"/>
      <c r="QDQ23" s="12"/>
      <c r="QDR23" s="12"/>
      <c r="QDS23" s="12"/>
      <c r="QDT23" s="12"/>
      <c r="QDU23" s="12"/>
      <c r="QDV23" s="12"/>
      <c r="QDW23" s="12"/>
      <c r="QDX23" s="12"/>
      <c r="QDY23" s="12"/>
      <c r="QDZ23" s="12"/>
      <c r="QEA23" s="12"/>
      <c r="QEB23" s="12"/>
      <c r="QEC23" s="12"/>
      <c r="QED23" s="12"/>
      <c r="QEE23" s="12"/>
      <c r="QEF23" s="12"/>
      <c r="QEG23" s="12"/>
      <c r="QEH23" s="12"/>
      <c r="QEI23" s="12"/>
      <c r="QEJ23" s="12"/>
      <c r="QEK23" s="12"/>
      <c r="QEL23" s="12"/>
      <c r="QEM23" s="12"/>
      <c r="QEN23" s="12"/>
      <c r="QEO23" s="12"/>
      <c r="QEP23" s="12"/>
      <c r="QEQ23" s="12"/>
      <c r="QER23" s="12"/>
      <c r="QES23" s="12"/>
      <c r="QET23" s="12"/>
      <c r="QEU23" s="12"/>
      <c r="QEV23" s="12"/>
      <c r="QEW23" s="12"/>
      <c r="QEX23" s="12"/>
      <c r="QEY23" s="12"/>
      <c r="QEZ23" s="12"/>
      <c r="QFA23" s="12"/>
      <c r="QFB23" s="12"/>
      <c r="QFC23" s="12"/>
      <c r="QFD23" s="12"/>
      <c r="QFE23" s="12"/>
      <c r="QFF23" s="12"/>
      <c r="QFG23" s="12"/>
      <c r="QFH23" s="12"/>
      <c r="QFI23" s="12"/>
      <c r="QFJ23" s="12"/>
      <c r="QFK23" s="12"/>
      <c r="QFL23" s="12"/>
      <c r="QFM23" s="12"/>
      <c r="QFN23" s="12"/>
      <c r="QFO23" s="12"/>
      <c r="QFP23" s="12"/>
      <c r="QFQ23" s="12"/>
      <c r="QFR23" s="12"/>
      <c r="QFS23" s="12"/>
      <c r="QFT23" s="12"/>
      <c r="QFU23" s="12"/>
      <c r="QFV23" s="12"/>
      <c r="QFW23" s="12"/>
      <c r="QFX23" s="12"/>
      <c r="QFY23" s="12"/>
      <c r="QFZ23" s="12"/>
      <c r="QGA23" s="12"/>
      <c r="QGB23" s="12"/>
      <c r="QGC23" s="12"/>
      <c r="QGD23" s="12"/>
      <c r="QGE23" s="12"/>
      <c r="QGF23" s="12"/>
      <c r="QGG23" s="12"/>
      <c r="QGH23" s="12"/>
      <c r="QGI23" s="12"/>
      <c r="QGJ23" s="12"/>
      <c r="QGK23" s="12"/>
      <c r="QGL23" s="12"/>
      <c r="QGM23" s="12"/>
      <c r="QGN23" s="12"/>
      <c r="QGO23" s="12"/>
      <c r="QGP23" s="12"/>
      <c r="QGQ23" s="12"/>
      <c r="QGR23" s="12"/>
      <c r="QGS23" s="12"/>
      <c r="QGT23" s="12"/>
      <c r="QGU23" s="12"/>
      <c r="QGV23" s="12"/>
      <c r="QGW23" s="12"/>
      <c r="QGX23" s="12"/>
      <c r="QGY23" s="12"/>
      <c r="QGZ23" s="12"/>
      <c r="QHA23" s="12"/>
      <c r="QHB23" s="12"/>
      <c r="QHC23" s="12"/>
      <c r="QHD23" s="12"/>
      <c r="QHE23" s="12"/>
      <c r="QHF23" s="12"/>
      <c r="QHG23" s="12"/>
      <c r="QHH23" s="12"/>
      <c r="QHI23" s="12"/>
      <c r="QHJ23" s="12"/>
      <c r="QHK23" s="12"/>
      <c r="QHL23" s="12"/>
      <c r="QHM23" s="12"/>
      <c r="QHN23" s="12"/>
      <c r="QHO23" s="12"/>
      <c r="QHP23" s="12"/>
      <c r="QHQ23" s="12"/>
      <c r="QHR23" s="12"/>
      <c r="QHS23" s="12"/>
      <c r="QHT23" s="12"/>
      <c r="QHU23" s="12"/>
      <c r="QHV23" s="12"/>
      <c r="QHW23" s="12"/>
      <c r="QHX23" s="12"/>
      <c r="QHY23" s="12"/>
      <c r="QHZ23" s="12"/>
      <c r="QIA23" s="12"/>
      <c r="QIB23" s="12"/>
      <c r="QIC23" s="12"/>
      <c r="QID23" s="12"/>
      <c r="QIE23" s="12"/>
      <c r="QIF23" s="12"/>
      <c r="QIG23" s="12"/>
      <c r="QIH23" s="12"/>
      <c r="QII23" s="12"/>
      <c r="QIJ23" s="12"/>
      <c r="QIK23" s="12"/>
      <c r="QIL23" s="12"/>
      <c r="QIM23" s="12"/>
      <c r="QIN23" s="12"/>
      <c r="QIO23" s="12"/>
      <c r="QIP23" s="12"/>
      <c r="QIQ23" s="12"/>
      <c r="QIR23" s="12"/>
      <c r="QIS23" s="12"/>
      <c r="QIT23" s="12"/>
      <c r="QIU23" s="12"/>
      <c r="QIV23" s="12"/>
      <c r="QIW23" s="12"/>
      <c r="QIX23" s="12"/>
      <c r="QIY23" s="12"/>
      <c r="QIZ23" s="12"/>
      <c r="QJA23" s="12"/>
      <c r="QJB23" s="12"/>
      <c r="QJC23" s="12"/>
      <c r="QJD23" s="12"/>
      <c r="QJE23" s="12"/>
      <c r="QJF23" s="12"/>
      <c r="QJG23" s="12"/>
      <c r="QJH23" s="12"/>
      <c r="QJI23" s="12"/>
      <c r="QJJ23" s="12"/>
      <c r="QJK23" s="12"/>
      <c r="QJL23" s="12"/>
      <c r="QJM23" s="12"/>
      <c r="QJN23" s="12"/>
      <c r="QJO23" s="12"/>
      <c r="QJP23" s="12"/>
      <c r="QJQ23" s="12"/>
      <c r="QJR23" s="12"/>
      <c r="QJS23" s="12"/>
      <c r="QJT23" s="12"/>
      <c r="QJU23" s="12"/>
      <c r="QJV23" s="12"/>
      <c r="QJW23" s="12"/>
      <c r="QJX23" s="12"/>
      <c r="QJY23" s="12"/>
      <c r="QJZ23" s="12"/>
      <c r="QKA23" s="12"/>
      <c r="QKB23" s="12"/>
      <c r="QKC23" s="12"/>
      <c r="QKD23" s="12"/>
      <c r="QKE23" s="12"/>
      <c r="QKF23" s="12"/>
      <c r="QKG23" s="12"/>
      <c r="QKH23" s="12"/>
      <c r="QKI23" s="12"/>
      <c r="QKJ23" s="12"/>
      <c r="QKK23" s="12"/>
      <c r="QKL23" s="12"/>
      <c r="QKM23" s="12"/>
      <c r="QKN23" s="12"/>
      <c r="QKO23" s="12"/>
      <c r="QKP23" s="12"/>
      <c r="QKQ23" s="12"/>
      <c r="QKR23" s="12"/>
      <c r="QKS23" s="12"/>
      <c r="QKT23" s="12"/>
      <c r="QKU23" s="12"/>
      <c r="QKV23" s="12"/>
      <c r="QKW23" s="12"/>
      <c r="QKX23" s="12"/>
      <c r="QKY23" s="12"/>
      <c r="QKZ23" s="12"/>
      <c r="QLA23" s="12"/>
      <c r="QLB23" s="12"/>
      <c r="QLC23" s="12"/>
      <c r="QLD23" s="12"/>
      <c r="QLE23" s="12"/>
      <c r="QLF23" s="12"/>
      <c r="QLG23" s="12"/>
      <c r="QLH23" s="12"/>
      <c r="QLI23" s="12"/>
      <c r="QLJ23" s="12"/>
      <c r="QLK23" s="12"/>
      <c r="QLL23" s="12"/>
      <c r="QLM23" s="12"/>
      <c r="QLN23" s="12"/>
      <c r="QLO23" s="12"/>
      <c r="QLP23" s="12"/>
      <c r="QLQ23" s="12"/>
      <c r="QLR23" s="12"/>
      <c r="QLS23" s="12"/>
      <c r="QLT23" s="12"/>
      <c r="QLU23" s="12"/>
      <c r="QLV23" s="12"/>
      <c r="QLW23" s="12"/>
      <c r="QLX23" s="12"/>
      <c r="QLY23" s="12"/>
      <c r="QLZ23" s="12"/>
      <c r="QMA23" s="12"/>
      <c r="QMB23" s="12"/>
      <c r="QMC23" s="12"/>
      <c r="QMD23" s="12"/>
      <c r="QME23" s="12"/>
      <c r="QMF23" s="12"/>
      <c r="QMG23" s="12"/>
      <c r="QMH23" s="12"/>
      <c r="QMI23" s="12"/>
      <c r="QMJ23" s="12"/>
      <c r="QMK23" s="12"/>
      <c r="QML23" s="12"/>
      <c r="QMM23" s="12"/>
      <c r="QMN23" s="12"/>
      <c r="QMO23" s="12"/>
      <c r="QMP23" s="12"/>
      <c r="QMQ23" s="12"/>
      <c r="QMR23" s="12"/>
      <c r="QMS23" s="12"/>
      <c r="QMT23" s="12"/>
      <c r="QMU23" s="12"/>
      <c r="QMV23" s="12"/>
      <c r="QMW23" s="12"/>
      <c r="QMX23" s="12"/>
      <c r="QMY23" s="12"/>
      <c r="QMZ23" s="12"/>
      <c r="QNA23" s="12"/>
      <c r="QNB23" s="12"/>
      <c r="QNC23" s="12"/>
      <c r="QND23" s="12"/>
      <c r="QNE23" s="12"/>
      <c r="QNF23" s="12"/>
      <c r="QNG23" s="12"/>
      <c r="QNH23" s="12"/>
      <c r="QNI23" s="12"/>
      <c r="QNJ23" s="12"/>
      <c r="QNK23" s="12"/>
      <c r="QNL23" s="12"/>
      <c r="QNM23" s="12"/>
      <c r="QNN23" s="12"/>
      <c r="QNO23" s="12"/>
      <c r="QNP23" s="12"/>
      <c r="QNQ23" s="12"/>
      <c r="QNR23" s="12"/>
      <c r="QNS23" s="12"/>
      <c r="QNT23" s="12"/>
      <c r="QNU23" s="12"/>
      <c r="QNV23" s="12"/>
      <c r="QNW23" s="12"/>
      <c r="QNX23" s="12"/>
      <c r="QNY23" s="12"/>
      <c r="QNZ23" s="12"/>
      <c r="QOA23" s="12"/>
      <c r="QOB23" s="12"/>
      <c r="QOC23" s="12"/>
      <c r="QOD23" s="12"/>
      <c r="QOE23" s="12"/>
      <c r="QOF23" s="12"/>
      <c r="QOG23" s="12"/>
      <c r="QOH23" s="12"/>
      <c r="QOI23" s="12"/>
      <c r="QOJ23" s="12"/>
      <c r="QOK23" s="12"/>
      <c r="QOL23" s="12"/>
      <c r="QOM23" s="12"/>
      <c r="QON23" s="12"/>
      <c r="QOO23" s="12"/>
      <c r="QOP23" s="12"/>
      <c r="QOQ23" s="12"/>
      <c r="QOR23" s="12"/>
      <c r="QOS23" s="12"/>
      <c r="QOT23" s="12"/>
      <c r="QOU23" s="12"/>
      <c r="QOV23" s="12"/>
      <c r="QOW23" s="12"/>
      <c r="QOX23" s="12"/>
      <c r="QOY23" s="12"/>
      <c r="QOZ23" s="12"/>
      <c r="QPA23" s="12"/>
      <c r="QPB23" s="12"/>
      <c r="QPC23" s="12"/>
      <c r="QPD23" s="12"/>
      <c r="QPE23" s="12"/>
      <c r="QPF23" s="12"/>
      <c r="QPG23" s="12"/>
      <c r="QPH23" s="12"/>
      <c r="QPI23" s="12"/>
      <c r="QPJ23" s="12"/>
      <c r="QPK23" s="12"/>
      <c r="QPL23" s="12"/>
      <c r="QPM23" s="12"/>
      <c r="QPN23" s="12"/>
      <c r="QPO23" s="12"/>
      <c r="QPP23" s="12"/>
      <c r="QPQ23" s="12"/>
      <c r="QPR23" s="12"/>
      <c r="QPS23" s="12"/>
      <c r="QPT23" s="12"/>
      <c r="QPU23" s="12"/>
      <c r="QPV23" s="12"/>
      <c r="QPW23" s="12"/>
      <c r="QPX23" s="12"/>
      <c r="QPY23" s="12"/>
      <c r="QPZ23" s="12"/>
      <c r="QQA23" s="12"/>
      <c r="QQB23" s="12"/>
      <c r="QQC23" s="12"/>
      <c r="QQD23" s="12"/>
      <c r="QQE23" s="12"/>
      <c r="QQF23" s="12"/>
      <c r="QQG23" s="12"/>
      <c r="QQH23" s="12"/>
      <c r="QQI23" s="12"/>
      <c r="QQJ23" s="12"/>
      <c r="QQK23" s="12"/>
      <c r="QQL23" s="12"/>
      <c r="QQM23" s="12"/>
      <c r="QQN23" s="12"/>
      <c r="QQO23" s="12"/>
      <c r="QQP23" s="12"/>
      <c r="QQQ23" s="12"/>
      <c r="QQR23" s="12"/>
      <c r="QQS23" s="12"/>
      <c r="QQT23" s="12"/>
      <c r="QQU23" s="12"/>
      <c r="QQV23" s="12"/>
      <c r="QQW23" s="12"/>
      <c r="QQX23" s="12"/>
      <c r="QQY23" s="12"/>
      <c r="QQZ23" s="12"/>
      <c r="QRA23" s="12"/>
      <c r="QRB23" s="12"/>
      <c r="QRC23" s="12"/>
      <c r="QRD23" s="12"/>
      <c r="QRE23" s="12"/>
      <c r="QRF23" s="12"/>
      <c r="QRG23" s="12"/>
      <c r="QRH23" s="12"/>
      <c r="QRI23" s="12"/>
      <c r="QRJ23" s="12"/>
      <c r="QRK23" s="12"/>
      <c r="QRL23" s="12"/>
      <c r="QRM23" s="12"/>
      <c r="QRN23" s="12"/>
      <c r="QRO23" s="12"/>
      <c r="QRP23" s="12"/>
      <c r="QRQ23" s="12"/>
      <c r="QRR23" s="12"/>
      <c r="QRS23" s="12"/>
      <c r="QRT23" s="12"/>
      <c r="QRU23" s="12"/>
      <c r="QRV23" s="12"/>
      <c r="QRW23" s="12"/>
      <c r="QRX23" s="12"/>
      <c r="QRY23" s="12"/>
      <c r="QRZ23" s="12"/>
      <c r="QSA23" s="12"/>
      <c r="QSB23" s="12"/>
      <c r="QSC23" s="12"/>
      <c r="QSD23" s="12"/>
      <c r="QSE23" s="12"/>
      <c r="QSF23" s="12"/>
      <c r="QSG23" s="12"/>
      <c r="QSH23" s="12"/>
      <c r="QSI23" s="12"/>
      <c r="QSJ23" s="12"/>
      <c r="QSK23" s="12"/>
      <c r="QSL23" s="12"/>
      <c r="QSM23" s="12"/>
      <c r="QSN23" s="12"/>
      <c r="QSO23" s="12"/>
      <c r="QSP23" s="12"/>
      <c r="QSQ23" s="12"/>
      <c r="QSR23" s="12"/>
      <c r="QSS23" s="12"/>
      <c r="QST23" s="12"/>
      <c r="QSU23" s="12"/>
      <c r="QSV23" s="12"/>
      <c r="QSW23" s="12"/>
      <c r="QSX23" s="12"/>
      <c r="QSY23" s="12"/>
      <c r="QSZ23" s="12"/>
      <c r="QTA23" s="12"/>
      <c r="QTB23" s="12"/>
      <c r="QTC23" s="12"/>
      <c r="QTD23" s="12"/>
      <c r="QTE23" s="12"/>
      <c r="QTF23" s="12"/>
      <c r="QTG23" s="12"/>
      <c r="QTH23" s="12"/>
      <c r="QTI23" s="12"/>
      <c r="QTJ23" s="12"/>
      <c r="QTK23" s="12"/>
      <c r="QTL23" s="12"/>
      <c r="QTM23" s="12"/>
      <c r="QTN23" s="12"/>
      <c r="QTO23" s="12"/>
      <c r="QTP23" s="12"/>
      <c r="QTQ23" s="12"/>
      <c r="QTR23" s="12"/>
      <c r="QTS23" s="12"/>
      <c r="QTT23" s="12"/>
      <c r="QTU23" s="12"/>
      <c r="QTV23" s="12"/>
      <c r="QTW23" s="12"/>
      <c r="QTX23" s="12"/>
      <c r="QTY23" s="12"/>
      <c r="QTZ23" s="12"/>
      <c r="QUA23" s="12"/>
      <c r="QUB23" s="12"/>
      <c r="QUC23" s="12"/>
      <c r="QUD23" s="12"/>
      <c r="QUE23" s="12"/>
      <c r="QUF23" s="12"/>
      <c r="QUG23" s="12"/>
      <c r="QUH23" s="12"/>
      <c r="QUI23" s="12"/>
      <c r="QUJ23" s="12"/>
      <c r="QUK23" s="12"/>
      <c r="QUL23" s="12"/>
      <c r="QUM23" s="12"/>
      <c r="QUN23" s="12"/>
      <c r="QUO23" s="12"/>
      <c r="QUP23" s="12"/>
      <c r="QUQ23" s="12"/>
      <c r="QUR23" s="12"/>
      <c r="QUS23" s="12"/>
      <c r="QUT23" s="12"/>
      <c r="QUU23" s="12"/>
      <c r="QUV23" s="12"/>
      <c r="QUW23" s="12"/>
      <c r="QUX23" s="12"/>
      <c r="QUY23" s="12"/>
      <c r="QUZ23" s="12"/>
      <c r="QVA23" s="12"/>
      <c r="QVB23" s="12"/>
      <c r="QVC23" s="12"/>
      <c r="QVD23" s="12"/>
      <c r="QVE23" s="12"/>
      <c r="QVF23" s="12"/>
      <c r="QVG23" s="12"/>
      <c r="QVH23" s="12"/>
      <c r="QVI23" s="12"/>
      <c r="QVJ23" s="12"/>
      <c r="QVK23" s="12"/>
      <c r="QVL23" s="12"/>
      <c r="QVM23" s="12"/>
      <c r="QVN23" s="12"/>
      <c r="QVO23" s="12"/>
      <c r="QVP23" s="12"/>
      <c r="QVQ23" s="12"/>
      <c r="QVR23" s="12"/>
      <c r="QVS23" s="12"/>
      <c r="QVT23" s="12"/>
      <c r="QVU23" s="12"/>
      <c r="QVV23" s="12"/>
      <c r="QVW23" s="12"/>
      <c r="QVX23" s="12"/>
      <c r="QVY23" s="12"/>
      <c r="QVZ23" s="12"/>
      <c r="QWA23" s="12"/>
      <c r="QWB23" s="12"/>
      <c r="QWC23" s="12"/>
      <c r="QWD23" s="12"/>
      <c r="QWE23" s="12"/>
      <c r="QWF23" s="12"/>
      <c r="QWG23" s="12"/>
      <c r="QWH23" s="12"/>
      <c r="QWI23" s="12"/>
      <c r="QWJ23" s="12"/>
      <c r="QWK23" s="12"/>
      <c r="QWL23" s="12"/>
      <c r="QWM23" s="12"/>
      <c r="QWN23" s="12"/>
      <c r="QWO23" s="12"/>
      <c r="QWP23" s="12"/>
      <c r="QWQ23" s="12"/>
      <c r="QWR23" s="12"/>
      <c r="QWS23" s="12"/>
      <c r="QWT23" s="12"/>
      <c r="QWU23" s="12"/>
      <c r="QWV23" s="12"/>
      <c r="QWW23" s="12"/>
      <c r="QWX23" s="12"/>
      <c r="QWY23" s="12"/>
      <c r="QWZ23" s="12"/>
      <c r="QXA23" s="12"/>
      <c r="QXB23" s="12"/>
      <c r="QXC23" s="12"/>
      <c r="QXD23" s="12"/>
      <c r="QXE23" s="12"/>
      <c r="QXF23" s="12"/>
      <c r="QXG23" s="12"/>
      <c r="QXH23" s="12"/>
      <c r="QXI23" s="12"/>
      <c r="QXJ23" s="12"/>
      <c r="QXK23" s="12"/>
      <c r="QXL23" s="12"/>
      <c r="QXM23" s="12"/>
      <c r="QXN23" s="12"/>
      <c r="QXO23" s="12"/>
      <c r="QXP23" s="12"/>
      <c r="QXQ23" s="12"/>
      <c r="QXR23" s="12"/>
      <c r="QXS23" s="12"/>
      <c r="QXT23" s="12"/>
      <c r="QXU23" s="12"/>
      <c r="QXV23" s="12"/>
      <c r="QXW23" s="12"/>
      <c r="QXX23" s="12"/>
      <c r="QXY23" s="12"/>
      <c r="QXZ23" s="12"/>
      <c r="QYA23" s="12"/>
      <c r="QYB23" s="12"/>
      <c r="QYC23" s="12"/>
      <c r="QYD23" s="12"/>
      <c r="QYE23" s="12"/>
      <c r="QYF23" s="12"/>
      <c r="QYG23" s="12"/>
      <c r="QYH23" s="12"/>
      <c r="QYI23" s="12"/>
      <c r="QYJ23" s="12"/>
      <c r="QYK23" s="12"/>
      <c r="QYL23" s="12"/>
      <c r="QYM23" s="12"/>
      <c r="QYN23" s="12"/>
      <c r="QYO23" s="12"/>
      <c r="QYP23" s="12"/>
      <c r="QYQ23" s="12"/>
      <c r="QYR23" s="12"/>
      <c r="QYS23" s="12"/>
      <c r="QYT23" s="12"/>
      <c r="QYU23" s="12"/>
      <c r="QYV23" s="12"/>
      <c r="QYW23" s="12"/>
      <c r="QYX23" s="12"/>
      <c r="QYY23" s="12"/>
      <c r="QYZ23" s="12"/>
      <c r="QZA23" s="12"/>
      <c r="QZB23" s="12"/>
      <c r="QZC23" s="12"/>
      <c r="QZD23" s="12"/>
      <c r="QZE23" s="12"/>
      <c r="QZF23" s="12"/>
      <c r="QZG23" s="12"/>
      <c r="QZH23" s="12"/>
      <c r="QZI23" s="12"/>
      <c r="QZJ23" s="12"/>
      <c r="QZK23" s="12"/>
      <c r="QZL23" s="12"/>
      <c r="QZM23" s="12"/>
      <c r="QZN23" s="12"/>
      <c r="QZO23" s="12"/>
      <c r="QZP23" s="12"/>
      <c r="QZQ23" s="12"/>
      <c r="QZR23" s="12"/>
      <c r="QZS23" s="12"/>
      <c r="QZT23" s="12"/>
      <c r="QZU23" s="12"/>
      <c r="QZV23" s="12"/>
      <c r="QZW23" s="12"/>
      <c r="QZX23" s="12"/>
      <c r="QZY23" s="12"/>
      <c r="QZZ23" s="12"/>
      <c r="RAA23" s="12"/>
      <c r="RAB23" s="12"/>
      <c r="RAC23" s="12"/>
      <c r="RAD23" s="12"/>
      <c r="RAE23" s="12"/>
      <c r="RAF23" s="12"/>
      <c r="RAG23" s="12"/>
      <c r="RAH23" s="12"/>
      <c r="RAI23" s="12"/>
      <c r="RAJ23" s="12"/>
      <c r="RAK23" s="12"/>
      <c r="RAL23" s="12"/>
      <c r="RAM23" s="12"/>
      <c r="RAN23" s="12"/>
      <c r="RAO23" s="12"/>
      <c r="RAP23" s="12"/>
      <c r="RAQ23" s="12"/>
      <c r="RAR23" s="12"/>
      <c r="RAS23" s="12"/>
      <c r="RAT23" s="12"/>
      <c r="RAU23" s="12"/>
      <c r="RAV23" s="12"/>
      <c r="RAW23" s="12"/>
      <c r="RAX23" s="12"/>
      <c r="RAY23" s="12"/>
      <c r="RAZ23" s="12"/>
      <c r="RBA23" s="12"/>
      <c r="RBB23" s="12"/>
      <c r="RBC23" s="12"/>
      <c r="RBD23" s="12"/>
      <c r="RBE23" s="12"/>
      <c r="RBF23" s="12"/>
      <c r="RBG23" s="12"/>
      <c r="RBH23" s="12"/>
      <c r="RBI23" s="12"/>
      <c r="RBJ23" s="12"/>
      <c r="RBK23" s="12"/>
      <c r="RBL23" s="12"/>
      <c r="RBM23" s="12"/>
      <c r="RBN23" s="12"/>
      <c r="RBO23" s="12"/>
      <c r="RBP23" s="12"/>
      <c r="RBQ23" s="12"/>
      <c r="RBR23" s="12"/>
      <c r="RBS23" s="12"/>
      <c r="RBT23" s="12"/>
      <c r="RBU23" s="12"/>
      <c r="RBV23" s="12"/>
      <c r="RBW23" s="12"/>
      <c r="RBX23" s="12"/>
      <c r="RBY23" s="12"/>
      <c r="RBZ23" s="12"/>
      <c r="RCA23" s="12"/>
      <c r="RCB23" s="12"/>
      <c r="RCC23" s="12"/>
      <c r="RCD23" s="12"/>
      <c r="RCE23" s="12"/>
      <c r="RCF23" s="12"/>
      <c r="RCG23" s="12"/>
      <c r="RCH23" s="12"/>
      <c r="RCI23" s="12"/>
      <c r="RCJ23" s="12"/>
      <c r="RCK23" s="12"/>
      <c r="RCL23" s="12"/>
      <c r="RCM23" s="12"/>
      <c r="RCN23" s="12"/>
      <c r="RCO23" s="12"/>
      <c r="RCP23" s="12"/>
      <c r="RCQ23" s="12"/>
      <c r="RCR23" s="12"/>
      <c r="RCS23" s="12"/>
      <c r="RCT23" s="12"/>
      <c r="RCU23" s="12"/>
      <c r="RCV23" s="12"/>
      <c r="RCW23" s="12"/>
      <c r="RCX23" s="12"/>
      <c r="RCY23" s="12"/>
      <c r="RCZ23" s="12"/>
      <c r="RDA23" s="12"/>
      <c r="RDB23" s="12"/>
      <c r="RDC23" s="12"/>
      <c r="RDD23" s="12"/>
      <c r="RDE23" s="12"/>
      <c r="RDF23" s="12"/>
      <c r="RDG23" s="12"/>
      <c r="RDH23" s="12"/>
      <c r="RDI23" s="12"/>
      <c r="RDJ23" s="12"/>
      <c r="RDK23" s="12"/>
      <c r="RDL23" s="12"/>
      <c r="RDM23" s="12"/>
      <c r="RDN23" s="12"/>
      <c r="RDO23" s="12"/>
      <c r="RDP23" s="12"/>
      <c r="RDQ23" s="12"/>
      <c r="RDR23" s="12"/>
      <c r="RDS23" s="12"/>
      <c r="RDT23" s="12"/>
      <c r="RDU23" s="12"/>
      <c r="RDV23" s="12"/>
      <c r="RDW23" s="12"/>
      <c r="RDX23" s="12"/>
      <c r="RDY23" s="12"/>
      <c r="RDZ23" s="12"/>
      <c r="REA23" s="12"/>
      <c r="REB23" s="12"/>
      <c r="REC23" s="12"/>
      <c r="RED23" s="12"/>
      <c r="REE23" s="12"/>
      <c r="REF23" s="12"/>
      <c r="REG23" s="12"/>
      <c r="REH23" s="12"/>
      <c r="REI23" s="12"/>
      <c r="REJ23" s="12"/>
      <c r="REK23" s="12"/>
      <c r="REL23" s="12"/>
      <c r="REM23" s="12"/>
      <c r="REN23" s="12"/>
      <c r="REO23" s="12"/>
      <c r="REP23" s="12"/>
      <c r="REQ23" s="12"/>
      <c r="RER23" s="12"/>
      <c r="RES23" s="12"/>
      <c r="RET23" s="12"/>
      <c r="REU23" s="12"/>
      <c r="REV23" s="12"/>
      <c r="REW23" s="12"/>
      <c r="REX23" s="12"/>
      <c r="REY23" s="12"/>
      <c r="REZ23" s="12"/>
      <c r="RFA23" s="12"/>
      <c r="RFB23" s="12"/>
      <c r="RFC23" s="12"/>
      <c r="RFD23" s="12"/>
      <c r="RFE23" s="12"/>
      <c r="RFF23" s="12"/>
      <c r="RFG23" s="12"/>
      <c r="RFH23" s="12"/>
      <c r="RFI23" s="12"/>
      <c r="RFJ23" s="12"/>
      <c r="RFK23" s="12"/>
      <c r="RFL23" s="12"/>
      <c r="RFM23" s="12"/>
      <c r="RFN23" s="12"/>
      <c r="RFO23" s="12"/>
      <c r="RFP23" s="12"/>
      <c r="RFQ23" s="12"/>
      <c r="RFR23" s="12"/>
      <c r="RFS23" s="12"/>
      <c r="RFT23" s="12"/>
      <c r="RFU23" s="12"/>
      <c r="RFV23" s="12"/>
      <c r="RFW23" s="12"/>
      <c r="RFX23" s="12"/>
      <c r="RFY23" s="12"/>
      <c r="RFZ23" s="12"/>
      <c r="RGA23" s="12"/>
      <c r="RGB23" s="12"/>
      <c r="RGC23" s="12"/>
      <c r="RGD23" s="12"/>
      <c r="RGE23" s="12"/>
      <c r="RGF23" s="12"/>
      <c r="RGG23" s="12"/>
      <c r="RGH23" s="12"/>
      <c r="RGI23" s="12"/>
      <c r="RGJ23" s="12"/>
      <c r="RGK23" s="12"/>
      <c r="RGL23" s="12"/>
      <c r="RGM23" s="12"/>
      <c r="RGN23" s="12"/>
      <c r="RGO23" s="12"/>
      <c r="RGP23" s="12"/>
      <c r="RGQ23" s="12"/>
      <c r="RGR23" s="12"/>
      <c r="RGS23" s="12"/>
      <c r="RGT23" s="12"/>
      <c r="RGU23" s="12"/>
      <c r="RGV23" s="12"/>
      <c r="RGW23" s="12"/>
      <c r="RGX23" s="12"/>
      <c r="RGY23" s="12"/>
      <c r="RGZ23" s="12"/>
      <c r="RHA23" s="12"/>
      <c r="RHB23" s="12"/>
      <c r="RHC23" s="12"/>
      <c r="RHD23" s="12"/>
      <c r="RHE23" s="12"/>
      <c r="RHF23" s="12"/>
      <c r="RHG23" s="12"/>
      <c r="RHH23" s="12"/>
      <c r="RHI23" s="12"/>
      <c r="RHJ23" s="12"/>
      <c r="RHK23" s="12"/>
      <c r="RHL23" s="12"/>
      <c r="RHM23" s="12"/>
      <c r="RHN23" s="12"/>
      <c r="RHO23" s="12"/>
      <c r="RHP23" s="12"/>
      <c r="RHQ23" s="12"/>
      <c r="RHR23" s="12"/>
      <c r="RHS23" s="12"/>
      <c r="RHT23" s="12"/>
      <c r="RHU23" s="12"/>
      <c r="RHV23" s="12"/>
      <c r="RHW23" s="12"/>
      <c r="RHX23" s="12"/>
      <c r="RHY23" s="12"/>
      <c r="RHZ23" s="12"/>
      <c r="RIA23" s="12"/>
      <c r="RIB23" s="12"/>
      <c r="RIC23" s="12"/>
      <c r="RID23" s="12"/>
      <c r="RIE23" s="12"/>
      <c r="RIF23" s="12"/>
      <c r="RIG23" s="12"/>
      <c r="RIH23" s="12"/>
      <c r="RII23" s="12"/>
      <c r="RIJ23" s="12"/>
      <c r="RIK23" s="12"/>
      <c r="RIL23" s="12"/>
      <c r="RIM23" s="12"/>
      <c r="RIN23" s="12"/>
      <c r="RIO23" s="12"/>
      <c r="RIP23" s="12"/>
      <c r="RIQ23" s="12"/>
      <c r="RIR23" s="12"/>
      <c r="RIS23" s="12"/>
      <c r="RIT23" s="12"/>
      <c r="RIU23" s="12"/>
      <c r="RIV23" s="12"/>
      <c r="RIW23" s="12"/>
      <c r="RIX23" s="12"/>
      <c r="RIY23" s="12"/>
      <c r="RIZ23" s="12"/>
      <c r="RJA23" s="12"/>
      <c r="RJB23" s="12"/>
      <c r="RJC23" s="12"/>
      <c r="RJD23" s="12"/>
      <c r="RJE23" s="12"/>
      <c r="RJF23" s="12"/>
      <c r="RJG23" s="12"/>
      <c r="RJH23" s="12"/>
      <c r="RJI23" s="12"/>
      <c r="RJJ23" s="12"/>
      <c r="RJK23" s="12"/>
      <c r="RJL23" s="12"/>
      <c r="RJM23" s="12"/>
      <c r="RJN23" s="12"/>
      <c r="RJO23" s="12"/>
      <c r="RJP23" s="12"/>
      <c r="RJQ23" s="12"/>
      <c r="RJR23" s="12"/>
      <c r="RJS23" s="12"/>
      <c r="RJT23" s="12"/>
      <c r="RJU23" s="12"/>
      <c r="RJV23" s="12"/>
      <c r="RJW23" s="12"/>
      <c r="RJX23" s="12"/>
      <c r="RJY23" s="12"/>
      <c r="RJZ23" s="12"/>
      <c r="RKA23" s="12"/>
      <c r="RKB23" s="12"/>
      <c r="RKC23" s="12"/>
      <c r="RKD23" s="12"/>
      <c r="RKE23" s="12"/>
      <c r="RKF23" s="12"/>
      <c r="RKG23" s="12"/>
      <c r="RKH23" s="12"/>
      <c r="RKI23" s="12"/>
      <c r="RKJ23" s="12"/>
      <c r="RKK23" s="12"/>
      <c r="RKL23" s="12"/>
      <c r="RKM23" s="12"/>
      <c r="RKN23" s="12"/>
      <c r="RKO23" s="12"/>
      <c r="RKP23" s="12"/>
      <c r="RKQ23" s="12"/>
      <c r="RKR23" s="12"/>
      <c r="RKS23" s="12"/>
      <c r="RKT23" s="12"/>
      <c r="RKU23" s="12"/>
      <c r="RKV23" s="12"/>
      <c r="RKW23" s="12"/>
      <c r="RKX23" s="12"/>
      <c r="RKY23" s="12"/>
      <c r="RKZ23" s="12"/>
      <c r="RLA23" s="12"/>
      <c r="RLB23" s="12"/>
      <c r="RLC23" s="12"/>
      <c r="RLD23" s="12"/>
      <c r="RLE23" s="12"/>
      <c r="RLF23" s="12"/>
      <c r="RLG23" s="12"/>
      <c r="RLH23" s="12"/>
      <c r="RLI23" s="12"/>
      <c r="RLJ23" s="12"/>
      <c r="RLK23" s="12"/>
      <c r="RLL23" s="12"/>
      <c r="RLM23" s="12"/>
      <c r="RLN23" s="12"/>
      <c r="RLO23" s="12"/>
      <c r="RLP23" s="12"/>
      <c r="RLQ23" s="12"/>
      <c r="RLR23" s="12"/>
      <c r="RLS23" s="12"/>
      <c r="RLT23" s="12"/>
      <c r="RLU23" s="12"/>
      <c r="RLV23" s="12"/>
      <c r="RLW23" s="12"/>
      <c r="RLX23" s="12"/>
      <c r="RLY23" s="12"/>
      <c r="RLZ23" s="12"/>
      <c r="RMA23" s="12"/>
      <c r="RMB23" s="12"/>
      <c r="RMC23" s="12"/>
      <c r="RMD23" s="12"/>
      <c r="RME23" s="12"/>
      <c r="RMF23" s="12"/>
      <c r="RMG23" s="12"/>
      <c r="RMH23" s="12"/>
      <c r="RMI23" s="12"/>
      <c r="RMJ23" s="12"/>
      <c r="RMK23" s="12"/>
      <c r="RML23" s="12"/>
      <c r="RMM23" s="12"/>
      <c r="RMN23" s="12"/>
      <c r="RMO23" s="12"/>
      <c r="RMP23" s="12"/>
      <c r="RMQ23" s="12"/>
      <c r="RMR23" s="12"/>
      <c r="RMS23" s="12"/>
      <c r="RMT23" s="12"/>
      <c r="RMU23" s="12"/>
      <c r="RMV23" s="12"/>
      <c r="RMW23" s="12"/>
      <c r="RMX23" s="12"/>
      <c r="RMY23" s="12"/>
      <c r="RMZ23" s="12"/>
      <c r="RNA23" s="12"/>
      <c r="RNB23" s="12"/>
      <c r="RNC23" s="12"/>
      <c r="RND23" s="12"/>
      <c r="RNE23" s="12"/>
      <c r="RNF23" s="12"/>
      <c r="RNG23" s="12"/>
      <c r="RNH23" s="12"/>
      <c r="RNI23" s="12"/>
      <c r="RNJ23" s="12"/>
      <c r="RNK23" s="12"/>
      <c r="RNL23" s="12"/>
      <c r="RNM23" s="12"/>
      <c r="RNN23" s="12"/>
      <c r="RNO23" s="12"/>
      <c r="RNP23" s="12"/>
      <c r="RNQ23" s="12"/>
      <c r="RNR23" s="12"/>
      <c r="RNS23" s="12"/>
      <c r="RNT23" s="12"/>
      <c r="RNU23" s="12"/>
      <c r="RNV23" s="12"/>
      <c r="RNW23" s="12"/>
      <c r="RNX23" s="12"/>
      <c r="RNY23" s="12"/>
      <c r="RNZ23" s="12"/>
      <c r="ROA23" s="12"/>
      <c r="ROB23" s="12"/>
      <c r="ROC23" s="12"/>
      <c r="ROD23" s="12"/>
      <c r="ROE23" s="12"/>
      <c r="ROF23" s="12"/>
      <c r="ROG23" s="12"/>
      <c r="ROH23" s="12"/>
      <c r="ROI23" s="12"/>
      <c r="ROJ23" s="12"/>
      <c r="ROK23" s="12"/>
      <c r="ROL23" s="12"/>
      <c r="ROM23" s="12"/>
      <c r="RON23" s="12"/>
      <c r="ROO23" s="12"/>
      <c r="ROP23" s="12"/>
      <c r="ROQ23" s="12"/>
      <c r="ROR23" s="12"/>
      <c r="ROS23" s="12"/>
      <c r="ROT23" s="12"/>
      <c r="ROU23" s="12"/>
      <c r="ROV23" s="12"/>
      <c r="ROW23" s="12"/>
      <c r="ROX23" s="12"/>
      <c r="ROY23" s="12"/>
      <c r="ROZ23" s="12"/>
      <c r="RPA23" s="12"/>
      <c r="RPB23" s="12"/>
      <c r="RPC23" s="12"/>
      <c r="RPD23" s="12"/>
      <c r="RPE23" s="12"/>
      <c r="RPF23" s="12"/>
      <c r="RPG23" s="12"/>
      <c r="RPH23" s="12"/>
      <c r="RPI23" s="12"/>
      <c r="RPJ23" s="12"/>
      <c r="RPK23" s="12"/>
      <c r="RPL23" s="12"/>
      <c r="RPM23" s="12"/>
      <c r="RPN23" s="12"/>
      <c r="RPO23" s="12"/>
      <c r="RPP23" s="12"/>
      <c r="RPQ23" s="12"/>
      <c r="RPR23" s="12"/>
      <c r="RPS23" s="12"/>
      <c r="RPT23" s="12"/>
      <c r="RPU23" s="12"/>
      <c r="RPV23" s="12"/>
      <c r="RPW23" s="12"/>
      <c r="RPX23" s="12"/>
      <c r="RPY23" s="12"/>
      <c r="RPZ23" s="12"/>
      <c r="RQA23" s="12"/>
      <c r="RQB23" s="12"/>
      <c r="RQC23" s="12"/>
      <c r="RQD23" s="12"/>
      <c r="RQE23" s="12"/>
      <c r="RQF23" s="12"/>
      <c r="RQG23" s="12"/>
      <c r="RQH23" s="12"/>
      <c r="RQI23" s="12"/>
      <c r="RQJ23" s="12"/>
      <c r="RQK23" s="12"/>
      <c r="RQL23" s="12"/>
      <c r="RQM23" s="12"/>
      <c r="RQN23" s="12"/>
      <c r="RQO23" s="12"/>
      <c r="RQP23" s="12"/>
      <c r="RQQ23" s="12"/>
      <c r="RQR23" s="12"/>
      <c r="RQS23" s="12"/>
      <c r="RQT23" s="12"/>
      <c r="RQU23" s="12"/>
      <c r="RQV23" s="12"/>
      <c r="RQW23" s="12"/>
      <c r="RQX23" s="12"/>
      <c r="RQY23" s="12"/>
      <c r="RQZ23" s="12"/>
      <c r="RRA23" s="12"/>
      <c r="RRB23" s="12"/>
      <c r="RRC23" s="12"/>
      <c r="RRD23" s="12"/>
      <c r="RRE23" s="12"/>
      <c r="RRF23" s="12"/>
      <c r="RRG23" s="12"/>
      <c r="RRH23" s="12"/>
      <c r="RRI23" s="12"/>
      <c r="RRJ23" s="12"/>
      <c r="RRK23" s="12"/>
      <c r="RRL23" s="12"/>
      <c r="RRM23" s="12"/>
      <c r="RRN23" s="12"/>
      <c r="RRO23" s="12"/>
      <c r="RRP23" s="12"/>
      <c r="RRQ23" s="12"/>
      <c r="RRR23" s="12"/>
      <c r="RRS23" s="12"/>
      <c r="RRT23" s="12"/>
      <c r="RRU23" s="12"/>
      <c r="RRV23" s="12"/>
      <c r="RRW23" s="12"/>
      <c r="RRX23" s="12"/>
      <c r="RRY23" s="12"/>
      <c r="RRZ23" s="12"/>
      <c r="RSA23" s="12"/>
      <c r="RSB23" s="12"/>
      <c r="RSC23" s="12"/>
      <c r="RSD23" s="12"/>
      <c r="RSE23" s="12"/>
      <c r="RSF23" s="12"/>
      <c r="RSG23" s="12"/>
      <c r="RSH23" s="12"/>
      <c r="RSI23" s="12"/>
      <c r="RSJ23" s="12"/>
      <c r="RSK23" s="12"/>
      <c r="RSL23" s="12"/>
      <c r="RSM23" s="12"/>
      <c r="RSN23" s="12"/>
      <c r="RSO23" s="12"/>
      <c r="RSP23" s="12"/>
      <c r="RSQ23" s="12"/>
      <c r="RSR23" s="12"/>
      <c r="RSS23" s="12"/>
      <c r="RST23" s="12"/>
      <c r="RSU23" s="12"/>
      <c r="RSV23" s="12"/>
      <c r="RSW23" s="12"/>
      <c r="RSX23" s="12"/>
      <c r="RSY23" s="12"/>
      <c r="RSZ23" s="12"/>
      <c r="RTA23" s="12"/>
      <c r="RTB23" s="12"/>
      <c r="RTC23" s="12"/>
      <c r="RTD23" s="12"/>
      <c r="RTE23" s="12"/>
      <c r="RTF23" s="12"/>
      <c r="RTG23" s="12"/>
      <c r="RTH23" s="12"/>
      <c r="RTI23" s="12"/>
      <c r="RTJ23" s="12"/>
      <c r="RTK23" s="12"/>
      <c r="RTL23" s="12"/>
      <c r="RTM23" s="12"/>
      <c r="RTN23" s="12"/>
      <c r="RTO23" s="12"/>
      <c r="RTP23" s="12"/>
      <c r="RTQ23" s="12"/>
      <c r="RTR23" s="12"/>
      <c r="RTS23" s="12"/>
      <c r="RTT23" s="12"/>
      <c r="RTU23" s="12"/>
      <c r="RTV23" s="12"/>
      <c r="RTW23" s="12"/>
      <c r="RTX23" s="12"/>
      <c r="RTY23" s="12"/>
      <c r="RTZ23" s="12"/>
      <c r="RUA23" s="12"/>
      <c r="RUB23" s="12"/>
      <c r="RUC23" s="12"/>
      <c r="RUD23" s="12"/>
      <c r="RUE23" s="12"/>
      <c r="RUF23" s="12"/>
      <c r="RUG23" s="12"/>
      <c r="RUH23" s="12"/>
      <c r="RUI23" s="12"/>
      <c r="RUJ23" s="12"/>
      <c r="RUK23" s="12"/>
      <c r="RUL23" s="12"/>
      <c r="RUM23" s="12"/>
      <c r="RUN23" s="12"/>
      <c r="RUO23" s="12"/>
      <c r="RUP23" s="12"/>
      <c r="RUQ23" s="12"/>
      <c r="RUR23" s="12"/>
      <c r="RUS23" s="12"/>
      <c r="RUT23" s="12"/>
      <c r="RUU23" s="12"/>
      <c r="RUV23" s="12"/>
      <c r="RUW23" s="12"/>
      <c r="RUX23" s="12"/>
      <c r="RUY23" s="12"/>
      <c r="RUZ23" s="12"/>
      <c r="RVA23" s="12"/>
      <c r="RVB23" s="12"/>
      <c r="RVC23" s="12"/>
      <c r="RVD23" s="12"/>
      <c r="RVE23" s="12"/>
      <c r="RVF23" s="12"/>
      <c r="RVG23" s="12"/>
      <c r="RVH23" s="12"/>
      <c r="RVI23" s="12"/>
      <c r="RVJ23" s="12"/>
      <c r="RVK23" s="12"/>
      <c r="RVL23" s="12"/>
      <c r="RVM23" s="12"/>
      <c r="RVN23" s="12"/>
      <c r="RVO23" s="12"/>
      <c r="RVP23" s="12"/>
      <c r="RVQ23" s="12"/>
      <c r="RVR23" s="12"/>
      <c r="RVS23" s="12"/>
      <c r="RVT23" s="12"/>
      <c r="RVU23" s="12"/>
      <c r="RVV23" s="12"/>
      <c r="RVW23" s="12"/>
      <c r="RVX23" s="12"/>
      <c r="RVY23" s="12"/>
      <c r="RVZ23" s="12"/>
      <c r="RWA23" s="12"/>
      <c r="RWB23" s="12"/>
      <c r="RWC23" s="12"/>
      <c r="RWD23" s="12"/>
      <c r="RWE23" s="12"/>
      <c r="RWF23" s="12"/>
      <c r="RWG23" s="12"/>
      <c r="RWH23" s="12"/>
      <c r="RWI23" s="12"/>
      <c r="RWJ23" s="12"/>
      <c r="RWK23" s="12"/>
      <c r="RWL23" s="12"/>
      <c r="RWM23" s="12"/>
      <c r="RWN23" s="12"/>
      <c r="RWO23" s="12"/>
      <c r="RWP23" s="12"/>
      <c r="RWQ23" s="12"/>
      <c r="RWR23" s="12"/>
      <c r="RWS23" s="12"/>
      <c r="RWT23" s="12"/>
      <c r="RWU23" s="12"/>
      <c r="RWV23" s="12"/>
      <c r="RWW23" s="12"/>
      <c r="RWX23" s="12"/>
      <c r="RWY23" s="12"/>
      <c r="RWZ23" s="12"/>
      <c r="RXA23" s="12"/>
      <c r="RXB23" s="12"/>
      <c r="RXC23" s="12"/>
      <c r="RXD23" s="12"/>
      <c r="RXE23" s="12"/>
      <c r="RXF23" s="12"/>
      <c r="RXG23" s="12"/>
      <c r="RXH23" s="12"/>
      <c r="RXI23" s="12"/>
      <c r="RXJ23" s="12"/>
      <c r="RXK23" s="12"/>
      <c r="RXL23" s="12"/>
      <c r="RXM23" s="12"/>
      <c r="RXN23" s="12"/>
      <c r="RXO23" s="12"/>
      <c r="RXP23" s="12"/>
      <c r="RXQ23" s="12"/>
      <c r="RXR23" s="12"/>
      <c r="RXS23" s="12"/>
      <c r="RXT23" s="12"/>
      <c r="RXU23" s="12"/>
      <c r="RXV23" s="12"/>
      <c r="RXW23" s="12"/>
      <c r="RXX23" s="12"/>
      <c r="RXY23" s="12"/>
      <c r="RXZ23" s="12"/>
      <c r="RYA23" s="12"/>
      <c r="RYB23" s="12"/>
      <c r="RYC23" s="12"/>
      <c r="RYD23" s="12"/>
      <c r="RYE23" s="12"/>
      <c r="RYF23" s="12"/>
      <c r="RYG23" s="12"/>
      <c r="RYH23" s="12"/>
      <c r="RYI23" s="12"/>
      <c r="RYJ23" s="12"/>
      <c r="RYK23" s="12"/>
      <c r="RYL23" s="12"/>
      <c r="RYM23" s="12"/>
      <c r="RYN23" s="12"/>
      <c r="RYO23" s="12"/>
      <c r="RYP23" s="12"/>
      <c r="RYQ23" s="12"/>
      <c r="RYR23" s="12"/>
      <c r="RYS23" s="12"/>
      <c r="RYT23" s="12"/>
      <c r="RYU23" s="12"/>
      <c r="RYV23" s="12"/>
      <c r="RYW23" s="12"/>
      <c r="RYX23" s="12"/>
      <c r="RYY23" s="12"/>
      <c r="RYZ23" s="12"/>
      <c r="RZA23" s="12"/>
      <c r="RZB23" s="12"/>
      <c r="RZC23" s="12"/>
      <c r="RZD23" s="12"/>
      <c r="RZE23" s="12"/>
      <c r="RZF23" s="12"/>
      <c r="RZG23" s="12"/>
      <c r="RZH23" s="12"/>
      <c r="RZI23" s="12"/>
      <c r="RZJ23" s="12"/>
      <c r="RZK23" s="12"/>
      <c r="RZL23" s="12"/>
      <c r="RZM23" s="12"/>
      <c r="RZN23" s="12"/>
      <c r="RZO23" s="12"/>
      <c r="RZP23" s="12"/>
      <c r="RZQ23" s="12"/>
      <c r="RZR23" s="12"/>
      <c r="RZS23" s="12"/>
      <c r="RZT23" s="12"/>
      <c r="RZU23" s="12"/>
      <c r="RZV23" s="12"/>
      <c r="RZW23" s="12"/>
      <c r="RZX23" s="12"/>
      <c r="RZY23" s="12"/>
      <c r="RZZ23" s="12"/>
      <c r="SAA23" s="12"/>
      <c r="SAB23" s="12"/>
      <c r="SAC23" s="12"/>
      <c r="SAD23" s="12"/>
      <c r="SAE23" s="12"/>
      <c r="SAF23" s="12"/>
      <c r="SAG23" s="12"/>
      <c r="SAH23" s="12"/>
      <c r="SAI23" s="12"/>
      <c r="SAJ23" s="12"/>
      <c r="SAK23" s="12"/>
      <c r="SAL23" s="12"/>
      <c r="SAM23" s="12"/>
      <c r="SAN23" s="12"/>
      <c r="SAO23" s="12"/>
      <c r="SAP23" s="12"/>
      <c r="SAQ23" s="12"/>
      <c r="SAR23" s="12"/>
      <c r="SAS23" s="12"/>
      <c r="SAT23" s="12"/>
      <c r="SAU23" s="12"/>
      <c r="SAV23" s="12"/>
      <c r="SAW23" s="12"/>
      <c r="SAX23" s="12"/>
      <c r="SAY23" s="12"/>
      <c r="SAZ23" s="12"/>
      <c r="SBA23" s="12"/>
      <c r="SBB23" s="12"/>
      <c r="SBC23" s="12"/>
      <c r="SBD23" s="12"/>
      <c r="SBE23" s="12"/>
      <c r="SBF23" s="12"/>
      <c r="SBG23" s="12"/>
      <c r="SBH23" s="12"/>
      <c r="SBI23" s="12"/>
      <c r="SBJ23" s="12"/>
      <c r="SBK23" s="12"/>
      <c r="SBL23" s="12"/>
      <c r="SBM23" s="12"/>
      <c r="SBN23" s="12"/>
      <c r="SBO23" s="12"/>
      <c r="SBP23" s="12"/>
      <c r="SBQ23" s="12"/>
      <c r="SBR23" s="12"/>
      <c r="SBS23" s="12"/>
      <c r="SBT23" s="12"/>
      <c r="SBU23" s="12"/>
      <c r="SBV23" s="12"/>
      <c r="SBW23" s="12"/>
      <c r="SBX23" s="12"/>
      <c r="SBY23" s="12"/>
      <c r="SBZ23" s="12"/>
      <c r="SCA23" s="12"/>
      <c r="SCB23" s="12"/>
      <c r="SCC23" s="12"/>
      <c r="SCD23" s="12"/>
      <c r="SCE23" s="12"/>
      <c r="SCF23" s="12"/>
      <c r="SCG23" s="12"/>
      <c r="SCH23" s="12"/>
      <c r="SCI23" s="12"/>
      <c r="SCJ23" s="12"/>
      <c r="SCK23" s="12"/>
      <c r="SCL23" s="12"/>
      <c r="SCM23" s="12"/>
      <c r="SCN23" s="12"/>
      <c r="SCO23" s="12"/>
      <c r="SCP23" s="12"/>
      <c r="SCQ23" s="12"/>
      <c r="SCR23" s="12"/>
      <c r="SCS23" s="12"/>
      <c r="SCT23" s="12"/>
      <c r="SCU23" s="12"/>
      <c r="SCV23" s="12"/>
      <c r="SCW23" s="12"/>
      <c r="SCX23" s="12"/>
      <c r="SCY23" s="12"/>
      <c r="SCZ23" s="12"/>
      <c r="SDA23" s="12"/>
      <c r="SDB23" s="12"/>
      <c r="SDC23" s="12"/>
      <c r="SDD23" s="12"/>
      <c r="SDE23" s="12"/>
      <c r="SDF23" s="12"/>
      <c r="SDG23" s="12"/>
      <c r="SDH23" s="12"/>
      <c r="SDI23" s="12"/>
      <c r="SDJ23" s="12"/>
      <c r="SDK23" s="12"/>
      <c r="SDL23" s="12"/>
      <c r="SDM23" s="12"/>
      <c r="SDN23" s="12"/>
      <c r="SDO23" s="12"/>
      <c r="SDP23" s="12"/>
      <c r="SDQ23" s="12"/>
      <c r="SDR23" s="12"/>
      <c r="SDS23" s="12"/>
      <c r="SDT23" s="12"/>
      <c r="SDU23" s="12"/>
      <c r="SDV23" s="12"/>
      <c r="SDW23" s="12"/>
      <c r="SDX23" s="12"/>
      <c r="SDY23" s="12"/>
      <c r="SDZ23" s="12"/>
      <c r="SEA23" s="12"/>
      <c r="SEB23" s="12"/>
      <c r="SEC23" s="12"/>
      <c r="SED23" s="12"/>
      <c r="SEE23" s="12"/>
      <c r="SEF23" s="12"/>
      <c r="SEG23" s="12"/>
      <c r="SEH23" s="12"/>
      <c r="SEI23" s="12"/>
      <c r="SEJ23" s="12"/>
      <c r="SEK23" s="12"/>
      <c r="SEL23" s="12"/>
      <c r="SEM23" s="12"/>
      <c r="SEN23" s="12"/>
      <c r="SEO23" s="12"/>
      <c r="SEP23" s="12"/>
      <c r="SEQ23" s="12"/>
      <c r="SER23" s="12"/>
      <c r="SES23" s="12"/>
      <c r="SET23" s="12"/>
      <c r="SEU23" s="12"/>
      <c r="SEV23" s="12"/>
      <c r="SEW23" s="12"/>
      <c r="SEX23" s="12"/>
      <c r="SEY23" s="12"/>
      <c r="SEZ23" s="12"/>
      <c r="SFA23" s="12"/>
      <c r="SFB23" s="12"/>
      <c r="SFC23" s="12"/>
      <c r="SFD23" s="12"/>
      <c r="SFE23" s="12"/>
      <c r="SFF23" s="12"/>
      <c r="SFG23" s="12"/>
      <c r="SFH23" s="12"/>
      <c r="SFI23" s="12"/>
      <c r="SFJ23" s="12"/>
      <c r="SFK23" s="12"/>
      <c r="SFL23" s="12"/>
      <c r="SFM23" s="12"/>
      <c r="SFN23" s="12"/>
      <c r="SFO23" s="12"/>
      <c r="SFP23" s="12"/>
      <c r="SFQ23" s="12"/>
      <c r="SFR23" s="12"/>
      <c r="SFS23" s="12"/>
      <c r="SFT23" s="12"/>
      <c r="SFU23" s="12"/>
      <c r="SFV23" s="12"/>
      <c r="SFW23" s="12"/>
      <c r="SFX23" s="12"/>
      <c r="SFY23" s="12"/>
      <c r="SFZ23" s="12"/>
      <c r="SGA23" s="12"/>
      <c r="SGB23" s="12"/>
      <c r="SGC23" s="12"/>
      <c r="SGD23" s="12"/>
      <c r="SGE23" s="12"/>
      <c r="SGF23" s="12"/>
      <c r="SGG23" s="12"/>
      <c r="SGH23" s="12"/>
      <c r="SGI23" s="12"/>
      <c r="SGJ23" s="12"/>
      <c r="SGK23" s="12"/>
      <c r="SGL23" s="12"/>
      <c r="SGM23" s="12"/>
      <c r="SGN23" s="12"/>
      <c r="SGO23" s="12"/>
      <c r="SGP23" s="12"/>
      <c r="SGQ23" s="12"/>
      <c r="SGR23" s="12"/>
      <c r="SGS23" s="12"/>
      <c r="SGT23" s="12"/>
      <c r="SGU23" s="12"/>
      <c r="SGV23" s="12"/>
      <c r="SGW23" s="12"/>
      <c r="SGX23" s="12"/>
      <c r="SGY23" s="12"/>
      <c r="SGZ23" s="12"/>
      <c r="SHA23" s="12"/>
      <c r="SHB23" s="12"/>
      <c r="SHC23" s="12"/>
      <c r="SHD23" s="12"/>
      <c r="SHE23" s="12"/>
      <c r="SHF23" s="12"/>
      <c r="SHG23" s="12"/>
      <c r="SHH23" s="12"/>
      <c r="SHI23" s="12"/>
      <c r="SHJ23" s="12"/>
      <c r="SHK23" s="12"/>
      <c r="SHL23" s="12"/>
      <c r="SHM23" s="12"/>
      <c r="SHN23" s="12"/>
      <c r="SHO23" s="12"/>
      <c r="SHP23" s="12"/>
      <c r="SHQ23" s="12"/>
      <c r="SHR23" s="12"/>
      <c r="SHS23" s="12"/>
      <c r="SHT23" s="12"/>
      <c r="SHU23" s="12"/>
      <c r="SHV23" s="12"/>
      <c r="SHW23" s="12"/>
      <c r="SHX23" s="12"/>
      <c r="SHY23" s="12"/>
      <c r="SHZ23" s="12"/>
      <c r="SIA23" s="12"/>
      <c r="SIB23" s="12"/>
      <c r="SIC23" s="12"/>
      <c r="SID23" s="12"/>
      <c r="SIE23" s="12"/>
      <c r="SIF23" s="12"/>
      <c r="SIG23" s="12"/>
      <c r="SIH23" s="12"/>
      <c r="SII23" s="12"/>
      <c r="SIJ23" s="12"/>
      <c r="SIK23" s="12"/>
      <c r="SIL23" s="12"/>
      <c r="SIM23" s="12"/>
      <c r="SIN23" s="12"/>
      <c r="SIO23" s="12"/>
      <c r="SIP23" s="12"/>
      <c r="SIQ23" s="12"/>
      <c r="SIR23" s="12"/>
      <c r="SIS23" s="12"/>
      <c r="SIT23" s="12"/>
      <c r="SIU23" s="12"/>
      <c r="SIV23" s="12"/>
      <c r="SIW23" s="12"/>
      <c r="SIX23" s="12"/>
      <c r="SIY23" s="12"/>
      <c r="SIZ23" s="12"/>
      <c r="SJA23" s="12"/>
      <c r="SJB23" s="12"/>
      <c r="SJC23" s="12"/>
      <c r="SJD23" s="12"/>
      <c r="SJE23" s="12"/>
      <c r="SJF23" s="12"/>
      <c r="SJG23" s="12"/>
      <c r="SJH23" s="12"/>
      <c r="SJI23" s="12"/>
      <c r="SJJ23" s="12"/>
      <c r="SJK23" s="12"/>
      <c r="SJL23" s="12"/>
      <c r="SJM23" s="12"/>
      <c r="SJN23" s="12"/>
      <c r="SJO23" s="12"/>
      <c r="SJP23" s="12"/>
      <c r="SJQ23" s="12"/>
      <c r="SJR23" s="12"/>
      <c r="SJS23" s="12"/>
      <c r="SJT23" s="12"/>
      <c r="SJU23" s="12"/>
      <c r="SJV23" s="12"/>
      <c r="SJW23" s="12"/>
      <c r="SJX23" s="12"/>
      <c r="SJY23" s="12"/>
      <c r="SJZ23" s="12"/>
      <c r="SKA23" s="12"/>
      <c r="SKB23" s="12"/>
      <c r="SKC23" s="12"/>
      <c r="SKD23" s="12"/>
      <c r="SKE23" s="12"/>
      <c r="SKF23" s="12"/>
      <c r="SKG23" s="12"/>
      <c r="SKH23" s="12"/>
      <c r="SKI23" s="12"/>
      <c r="SKJ23" s="12"/>
      <c r="SKK23" s="12"/>
      <c r="SKL23" s="12"/>
      <c r="SKM23" s="12"/>
      <c r="SKN23" s="12"/>
      <c r="SKO23" s="12"/>
      <c r="SKP23" s="12"/>
      <c r="SKQ23" s="12"/>
      <c r="SKR23" s="12"/>
      <c r="SKS23" s="12"/>
      <c r="SKT23" s="12"/>
      <c r="SKU23" s="12"/>
      <c r="SKV23" s="12"/>
      <c r="SKW23" s="12"/>
      <c r="SKX23" s="12"/>
      <c r="SKY23" s="12"/>
      <c r="SKZ23" s="12"/>
      <c r="SLA23" s="12"/>
      <c r="SLB23" s="12"/>
      <c r="SLC23" s="12"/>
      <c r="SLD23" s="12"/>
      <c r="SLE23" s="12"/>
      <c r="SLF23" s="12"/>
      <c r="SLG23" s="12"/>
      <c r="SLH23" s="12"/>
      <c r="SLI23" s="12"/>
      <c r="SLJ23" s="12"/>
      <c r="SLK23" s="12"/>
      <c r="SLL23" s="12"/>
      <c r="SLM23" s="12"/>
      <c r="SLN23" s="12"/>
      <c r="SLO23" s="12"/>
      <c r="SLP23" s="12"/>
      <c r="SLQ23" s="12"/>
      <c r="SLR23" s="12"/>
      <c r="SLS23" s="12"/>
      <c r="SLT23" s="12"/>
      <c r="SLU23" s="12"/>
      <c r="SLV23" s="12"/>
      <c r="SLW23" s="12"/>
      <c r="SLX23" s="12"/>
      <c r="SLY23" s="12"/>
      <c r="SLZ23" s="12"/>
      <c r="SMA23" s="12"/>
      <c r="SMB23" s="12"/>
      <c r="SMC23" s="12"/>
      <c r="SMD23" s="12"/>
      <c r="SME23" s="12"/>
      <c r="SMF23" s="12"/>
      <c r="SMG23" s="12"/>
      <c r="SMH23" s="12"/>
      <c r="SMI23" s="12"/>
      <c r="SMJ23" s="12"/>
      <c r="SMK23" s="12"/>
      <c r="SML23" s="12"/>
      <c r="SMM23" s="12"/>
      <c r="SMN23" s="12"/>
      <c r="SMO23" s="12"/>
      <c r="SMP23" s="12"/>
      <c r="SMQ23" s="12"/>
      <c r="SMR23" s="12"/>
      <c r="SMS23" s="12"/>
      <c r="SMT23" s="12"/>
      <c r="SMU23" s="12"/>
      <c r="SMV23" s="12"/>
      <c r="SMW23" s="12"/>
      <c r="SMX23" s="12"/>
      <c r="SMY23" s="12"/>
      <c r="SMZ23" s="12"/>
      <c r="SNA23" s="12"/>
      <c r="SNB23" s="12"/>
      <c r="SNC23" s="12"/>
      <c r="SND23" s="12"/>
      <c r="SNE23" s="12"/>
      <c r="SNF23" s="12"/>
      <c r="SNG23" s="12"/>
      <c r="SNH23" s="12"/>
      <c r="SNI23" s="12"/>
      <c r="SNJ23" s="12"/>
      <c r="SNK23" s="12"/>
      <c r="SNL23" s="12"/>
      <c r="SNM23" s="12"/>
      <c r="SNN23" s="12"/>
      <c r="SNO23" s="12"/>
      <c r="SNP23" s="12"/>
      <c r="SNQ23" s="12"/>
      <c r="SNR23" s="12"/>
      <c r="SNS23" s="12"/>
      <c r="SNT23" s="12"/>
      <c r="SNU23" s="12"/>
      <c r="SNV23" s="12"/>
      <c r="SNW23" s="12"/>
      <c r="SNX23" s="12"/>
      <c r="SNY23" s="12"/>
      <c r="SNZ23" s="12"/>
      <c r="SOA23" s="12"/>
      <c r="SOB23" s="12"/>
      <c r="SOC23" s="12"/>
      <c r="SOD23" s="12"/>
      <c r="SOE23" s="12"/>
      <c r="SOF23" s="12"/>
      <c r="SOG23" s="12"/>
      <c r="SOH23" s="12"/>
      <c r="SOI23" s="12"/>
      <c r="SOJ23" s="12"/>
      <c r="SOK23" s="12"/>
      <c r="SOL23" s="12"/>
      <c r="SOM23" s="12"/>
      <c r="SON23" s="12"/>
      <c r="SOO23" s="12"/>
      <c r="SOP23" s="12"/>
      <c r="SOQ23" s="12"/>
      <c r="SOR23" s="12"/>
      <c r="SOS23" s="12"/>
      <c r="SOT23" s="12"/>
      <c r="SOU23" s="12"/>
      <c r="SOV23" s="12"/>
      <c r="SOW23" s="12"/>
      <c r="SOX23" s="12"/>
      <c r="SOY23" s="12"/>
      <c r="SOZ23" s="12"/>
      <c r="SPA23" s="12"/>
      <c r="SPB23" s="12"/>
      <c r="SPC23" s="12"/>
      <c r="SPD23" s="12"/>
      <c r="SPE23" s="12"/>
      <c r="SPF23" s="12"/>
      <c r="SPG23" s="12"/>
      <c r="SPH23" s="12"/>
      <c r="SPI23" s="12"/>
      <c r="SPJ23" s="12"/>
      <c r="SPK23" s="12"/>
      <c r="SPL23" s="12"/>
      <c r="SPM23" s="12"/>
      <c r="SPN23" s="12"/>
      <c r="SPO23" s="12"/>
      <c r="SPP23" s="12"/>
      <c r="SPQ23" s="12"/>
      <c r="SPR23" s="12"/>
      <c r="SPS23" s="12"/>
      <c r="SPT23" s="12"/>
      <c r="SPU23" s="12"/>
      <c r="SPV23" s="12"/>
      <c r="SPW23" s="12"/>
      <c r="SPX23" s="12"/>
      <c r="SPY23" s="12"/>
      <c r="SPZ23" s="12"/>
      <c r="SQA23" s="12"/>
      <c r="SQB23" s="12"/>
      <c r="SQC23" s="12"/>
      <c r="SQD23" s="12"/>
      <c r="SQE23" s="12"/>
      <c r="SQF23" s="12"/>
      <c r="SQG23" s="12"/>
      <c r="SQH23" s="12"/>
      <c r="SQI23" s="12"/>
      <c r="SQJ23" s="12"/>
      <c r="SQK23" s="12"/>
      <c r="SQL23" s="12"/>
      <c r="SQM23" s="12"/>
      <c r="SQN23" s="12"/>
      <c r="SQO23" s="12"/>
      <c r="SQP23" s="12"/>
      <c r="SQQ23" s="12"/>
      <c r="SQR23" s="12"/>
      <c r="SQS23" s="12"/>
      <c r="SQT23" s="12"/>
      <c r="SQU23" s="12"/>
      <c r="SQV23" s="12"/>
      <c r="SQW23" s="12"/>
      <c r="SQX23" s="12"/>
      <c r="SQY23" s="12"/>
      <c r="SQZ23" s="12"/>
      <c r="SRA23" s="12"/>
      <c r="SRB23" s="12"/>
      <c r="SRC23" s="12"/>
      <c r="SRD23" s="12"/>
      <c r="SRE23" s="12"/>
      <c r="SRF23" s="12"/>
      <c r="SRG23" s="12"/>
      <c r="SRH23" s="12"/>
      <c r="SRI23" s="12"/>
      <c r="SRJ23" s="12"/>
      <c r="SRK23" s="12"/>
      <c r="SRL23" s="12"/>
      <c r="SRM23" s="12"/>
      <c r="SRN23" s="12"/>
      <c r="SRO23" s="12"/>
      <c r="SRP23" s="12"/>
      <c r="SRQ23" s="12"/>
      <c r="SRR23" s="12"/>
      <c r="SRS23" s="12"/>
      <c r="SRT23" s="12"/>
      <c r="SRU23" s="12"/>
      <c r="SRV23" s="12"/>
      <c r="SRW23" s="12"/>
      <c r="SRX23" s="12"/>
      <c r="SRY23" s="12"/>
      <c r="SRZ23" s="12"/>
      <c r="SSA23" s="12"/>
      <c r="SSB23" s="12"/>
      <c r="SSC23" s="12"/>
      <c r="SSD23" s="12"/>
      <c r="SSE23" s="12"/>
      <c r="SSF23" s="12"/>
      <c r="SSG23" s="12"/>
      <c r="SSH23" s="12"/>
      <c r="SSI23" s="12"/>
      <c r="SSJ23" s="12"/>
      <c r="SSK23" s="12"/>
      <c r="SSL23" s="12"/>
      <c r="SSM23" s="12"/>
      <c r="SSN23" s="12"/>
      <c r="SSO23" s="12"/>
      <c r="SSP23" s="12"/>
      <c r="SSQ23" s="12"/>
      <c r="SSR23" s="12"/>
      <c r="SSS23" s="12"/>
      <c r="SST23" s="12"/>
      <c r="SSU23" s="12"/>
      <c r="SSV23" s="12"/>
      <c r="SSW23" s="12"/>
      <c r="SSX23" s="12"/>
      <c r="SSY23" s="12"/>
      <c r="SSZ23" s="12"/>
      <c r="STA23" s="12"/>
      <c r="STB23" s="12"/>
      <c r="STC23" s="12"/>
      <c r="STD23" s="12"/>
      <c r="STE23" s="12"/>
      <c r="STF23" s="12"/>
      <c r="STG23" s="12"/>
      <c r="STH23" s="12"/>
      <c r="STI23" s="12"/>
      <c r="STJ23" s="12"/>
      <c r="STK23" s="12"/>
      <c r="STL23" s="12"/>
      <c r="STM23" s="12"/>
      <c r="STN23" s="12"/>
      <c r="STO23" s="12"/>
      <c r="STP23" s="12"/>
      <c r="STQ23" s="12"/>
      <c r="STR23" s="12"/>
      <c r="STS23" s="12"/>
      <c r="STT23" s="12"/>
      <c r="STU23" s="12"/>
      <c r="STV23" s="12"/>
      <c r="STW23" s="12"/>
      <c r="STX23" s="12"/>
      <c r="STY23" s="12"/>
      <c r="STZ23" s="12"/>
      <c r="SUA23" s="12"/>
      <c r="SUB23" s="12"/>
      <c r="SUC23" s="12"/>
      <c r="SUD23" s="12"/>
      <c r="SUE23" s="12"/>
      <c r="SUF23" s="12"/>
      <c r="SUG23" s="12"/>
      <c r="SUH23" s="12"/>
      <c r="SUI23" s="12"/>
      <c r="SUJ23" s="12"/>
      <c r="SUK23" s="12"/>
      <c r="SUL23" s="12"/>
      <c r="SUM23" s="12"/>
      <c r="SUN23" s="12"/>
      <c r="SUO23" s="12"/>
      <c r="SUP23" s="12"/>
      <c r="SUQ23" s="12"/>
      <c r="SUR23" s="12"/>
      <c r="SUS23" s="12"/>
      <c r="SUT23" s="12"/>
      <c r="SUU23" s="12"/>
      <c r="SUV23" s="12"/>
      <c r="SUW23" s="12"/>
      <c r="SUX23" s="12"/>
      <c r="SUY23" s="12"/>
      <c r="SUZ23" s="12"/>
      <c r="SVA23" s="12"/>
      <c r="SVB23" s="12"/>
      <c r="SVC23" s="12"/>
      <c r="SVD23" s="12"/>
      <c r="SVE23" s="12"/>
      <c r="SVF23" s="12"/>
      <c r="SVG23" s="12"/>
      <c r="SVH23" s="12"/>
      <c r="SVI23" s="12"/>
      <c r="SVJ23" s="12"/>
      <c r="SVK23" s="12"/>
      <c r="SVL23" s="12"/>
      <c r="SVM23" s="12"/>
      <c r="SVN23" s="12"/>
      <c r="SVO23" s="12"/>
      <c r="SVP23" s="12"/>
      <c r="SVQ23" s="12"/>
      <c r="SVR23" s="12"/>
      <c r="SVS23" s="12"/>
      <c r="SVT23" s="12"/>
      <c r="SVU23" s="12"/>
      <c r="SVV23" s="12"/>
      <c r="SVW23" s="12"/>
      <c r="SVX23" s="12"/>
      <c r="SVY23" s="12"/>
      <c r="SVZ23" s="12"/>
      <c r="SWA23" s="12"/>
      <c r="SWB23" s="12"/>
      <c r="SWC23" s="12"/>
      <c r="SWD23" s="12"/>
      <c r="SWE23" s="12"/>
      <c r="SWF23" s="12"/>
      <c r="SWG23" s="12"/>
      <c r="SWH23" s="12"/>
      <c r="SWI23" s="12"/>
      <c r="SWJ23" s="12"/>
      <c r="SWK23" s="12"/>
      <c r="SWL23" s="12"/>
      <c r="SWM23" s="12"/>
      <c r="SWN23" s="12"/>
      <c r="SWO23" s="12"/>
      <c r="SWP23" s="12"/>
      <c r="SWQ23" s="12"/>
      <c r="SWR23" s="12"/>
      <c r="SWS23" s="12"/>
      <c r="SWT23" s="12"/>
      <c r="SWU23" s="12"/>
      <c r="SWV23" s="12"/>
      <c r="SWW23" s="12"/>
      <c r="SWX23" s="12"/>
      <c r="SWY23" s="12"/>
      <c r="SWZ23" s="12"/>
      <c r="SXA23" s="12"/>
      <c r="SXB23" s="12"/>
      <c r="SXC23" s="12"/>
      <c r="SXD23" s="12"/>
      <c r="SXE23" s="12"/>
      <c r="SXF23" s="12"/>
      <c r="SXG23" s="12"/>
      <c r="SXH23" s="12"/>
      <c r="SXI23" s="12"/>
      <c r="SXJ23" s="12"/>
      <c r="SXK23" s="12"/>
      <c r="SXL23" s="12"/>
      <c r="SXM23" s="12"/>
      <c r="SXN23" s="12"/>
      <c r="SXO23" s="12"/>
      <c r="SXP23" s="12"/>
      <c r="SXQ23" s="12"/>
      <c r="SXR23" s="12"/>
      <c r="SXS23" s="12"/>
      <c r="SXT23" s="12"/>
      <c r="SXU23" s="12"/>
      <c r="SXV23" s="12"/>
      <c r="SXW23" s="12"/>
      <c r="SXX23" s="12"/>
      <c r="SXY23" s="12"/>
      <c r="SXZ23" s="12"/>
      <c r="SYA23" s="12"/>
      <c r="SYB23" s="12"/>
      <c r="SYC23" s="12"/>
      <c r="SYD23" s="12"/>
      <c r="SYE23" s="12"/>
      <c r="SYF23" s="12"/>
      <c r="SYG23" s="12"/>
      <c r="SYH23" s="12"/>
      <c r="SYI23" s="12"/>
      <c r="SYJ23" s="12"/>
      <c r="SYK23" s="12"/>
      <c r="SYL23" s="12"/>
      <c r="SYM23" s="12"/>
      <c r="SYN23" s="12"/>
      <c r="SYO23" s="12"/>
      <c r="SYP23" s="12"/>
      <c r="SYQ23" s="12"/>
      <c r="SYR23" s="12"/>
      <c r="SYS23" s="12"/>
      <c r="SYT23" s="12"/>
      <c r="SYU23" s="12"/>
      <c r="SYV23" s="12"/>
      <c r="SYW23" s="12"/>
      <c r="SYX23" s="12"/>
      <c r="SYY23" s="12"/>
      <c r="SYZ23" s="12"/>
      <c r="SZA23" s="12"/>
      <c r="SZB23" s="12"/>
      <c r="SZC23" s="12"/>
      <c r="SZD23" s="12"/>
      <c r="SZE23" s="12"/>
      <c r="SZF23" s="12"/>
      <c r="SZG23" s="12"/>
      <c r="SZH23" s="12"/>
      <c r="SZI23" s="12"/>
      <c r="SZJ23" s="12"/>
      <c r="SZK23" s="12"/>
      <c r="SZL23" s="12"/>
      <c r="SZM23" s="12"/>
      <c r="SZN23" s="12"/>
      <c r="SZO23" s="12"/>
      <c r="SZP23" s="12"/>
      <c r="SZQ23" s="12"/>
      <c r="SZR23" s="12"/>
      <c r="SZS23" s="12"/>
      <c r="SZT23" s="12"/>
      <c r="SZU23" s="12"/>
      <c r="SZV23" s="12"/>
      <c r="SZW23" s="12"/>
      <c r="SZX23" s="12"/>
      <c r="SZY23" s="12"/>
      <c r="SZZ23" s="12"/>
      <c r="TAA23" s="12"/>
      <c r="TAB23" s="12"/>
      <c r="TAC23" s="12"/>
      <c r="TAD23" s="12"/>
      <c r="TAE23" s="12"/>
      <c r="TAF23" s="12"/>
      <c r="TAG23" s="12"/>
      <c r="TAH23" s="12"/>
      <c r="TAI23" s="12"/>
      <c r="TAJ23" s="12"/>
      <c r="TAK23" s="12"/>
      <c r="TAL23" s="12"/>
      <c r="TAM23" s="12"/>
      <c r="TAN23" s="12"/>
      <c r="TAO23" s="12"/>
      <c r="TAP23" s="12"/>
      <c r="TAQ23" s="12"/>
      <c r="TAR23" s="12"/>
      <c r="TAS23" s="12"/>
      <c r="TAT23" s="12"/>
      <c r="TAU23" s="12"/>
      <c r="TAV23" s="12"/>
      <c r="TAW23" s="12"/>
      <c r="TAX23" s="12"/>
      <c r="TAY23" s="12"/>
      <c r="TAZ23" s="12"/>
      <c r="TBA23" s="12"/>
      <c r="TBB23" s="12"/>
      <c r="TBC23" s="12"/>
      <c r="TBD23" s="12"/>
      <c r="TBE23" s="12"/>
      <c r="TBF23" s="12"/>
      <c r="TBG23" s="12"/>
      <c r="TBH23" s="12"/>
      <c r="TBI23" s="12"/>
      <c r="TBJ23" s="12"/>
      <c r="TBK23" s="12"/>
      <c r="TBL23" s="12"/>
      <c r="TBM23" s="12"/>
      <c r="TBN23" s="12"/>
      <c r="TBO23" s="12"/>
      <c r="TBP23" s="12"/>
      <c r="TBQ23" s="12"/>
      <c r="TBR23" s="12"/>
      <c r="TBS23" s="12"/>
      <c r="TBT23" s="12"/>
      <c r="TBU23" s="12"/>
      <c r="TBV23" s="12"/>
      <c r="TBW23" s="12"/>
      <c r="TBX23" s="12"/>
      <c r="TBY23" s="12"/>
      <c r="TBZ23" s="12"/>
      <c r="TCA23" s="12"/>
      <c r="TCB23" s="12"/>
      <c r="TCC23" s="12"/>
      <c r="TCD23" s="12"/>
      <c r="TCE23" s="12"/>
      <c r="TCF23" s="12"/>
      <c r="TCG23" s="12"/>
      <c r="TCH23" s="12"/>
      <c r="TCI23" s="12"/>
      <c r="TCJ23" s="12"/>
      <c r="TCK23" s="12"/>
      <c r="TCL23" s="12"/>
      <c r="TCM23" s="12"/>
      <c r="TCN23" s="12"/>
      <c r="TCO23" s="12"/>
      <c r="TCP23" s="12"/>
      <c r="TCQ23" s="12"/>
      <c r="TCR23" s="12"/>
      <c r="TCS23" s="12"/>
      <c r="TCT23" s="12"/>
      <c r="TCU23" s="12"/>
      <c r="TCV23" s="12"/>
      <c r="TCW23" s="12"/>
      <c r="TCX23" s="12"/>
      <c r="TCY23" s="12"/>
      <c r="TCZ23" s="12"/>
      <c r="TDA23" s="12"/>
      <c r="TDB23" s="12"/>
      <c r="TDC23" s="12"/>
      <c r="TDD23" s="12"/>
      <c r="TDE23" s="12"/>
      <c r="TDF23" s="12"/>
      <c r="TDG23" s="12"/>
      <c r="TDH23" s="12"/>
      <c r="TDI23" s="12"/>
      <c r="TDJ23" s="12"/>
      <c r="TDK23" s="12"/>
      <c r="TDL23" s="12"/>
      <c r="TDM23" s="12"/>
      <c r="TDN23" s="12"/>
      <c r="TDO23" s="12"/>
      <c r="TDP23" s="12"/>
      <c r="TDQ23" s="12"/>
      <c r="TDR23" s="12"/>
      <c r="TDS23" s="12"/>
      <c r="TDT23" s="12"/>
      <c r="TDU23" s="12"/>
      <c r="TDV23" s="12"/>
      <c r="TDW23" s="12"/>
      <c r="TDX23" s="12"/>
      <c r="TDY23" s="12"/>
      <c r="TDZ23" s="12"/>
      <c r="TEA23" s="12"/>
      <c r="TEB23" s="12"/>
      <c r="TEC23" s="12"/>
      <c r="TED23" s="12"/>
      <c r="TEE23" s="12"/>
      <c r="TEF23" s="12"/>
      <c r="TEG23" s="12"/>
      <c r="TEH23" s="12"/>
      <c r="TEI23" s="12"/>
      <c r="TEJ23" s="12"/>
      <c r="TEK23" s="12"/>
      <c r="TEL23" s="12"/>
      <c r="TEM23" s="12"/>
      <c r="TEN23" s="12"/>
      <c r="TEO23" s="12"/>
      <c r="TEP23" s="12"/>
      <c r="TEQ23" s="12"/>
      <c r="TER23" s="12"/>
      <c r="TES23" s="12"/>
      <c r="TET23" s="12"/>
      <c r="TEU23" s="12"/>
      <c r="TEV23" s="12"/>
      <c r="TEW23" s="12"/>
      <c r="TEX23" s="12"/>
      <c r="TEY23" s="12"/>
      <c r="TEZ23" s="12"/>
      <c r="TFA23" s="12"/>
      <c r="TFB23" s="12"/>
      <c r="TFC23" s="12"/>
      <c r="TFD23" s="12"/>
      <c r="TFE23" s="12"/>
      <c r="TFF23" s="12"/>
      <c r="TFG23" s="12"/>
      <c r="TFH23" s="12"/>
      <c r="TFI23" s="12"/>
      <c r="TFJ23" s="12"/>
      <c r="TFK23" s="12"/>
      <c r="TFL23" s="12"/>
      <c r="TFM23" s="12"/>
      <c r="TFN23" s="12"/>
      <c r="TFO23" s="12"/>
      <c r="TFP23" s="12"/>
      <c r="TFQ23" s="12"/>
      <c r="TFR23" s="12"/>
      <c r="TFS23" s="12"/>
      <c r="TFT23" s="12"/>
      <c r="TFU23" s="12"/>
      <c r="TFV23" s="12"/>
      <c r="TFW23" s="12"/>
      <c r="TFX23" s="12"/>
      <c r="TFY23" s="12"/>
      <c r="TFZ23" s="12"/>
      <c r="TGA23" s="12"/>
      <c r="TGB23" s="12"/>
      <c r="TGC23" s="12"/>
      <c r="TGD23" s="12"/>
      <c r="TGE23" s="12"/>
      <c r="TGF23" s="12"/>
      <c r="TGG23" s="12"/>
      <c r="TGH23" s="12"/>
      <c r="TGI23" s="12"/>
      <c r="TGJ23" s="12"/>
      <c r="TGK23" s="12"/>
      <c r="TGL23" s="12"/>
      <c r="TGM23" s="12"/>
      <c r="TGN23" s="12"/>
      <c r="TGO23" s="12"/>
      <c r="TGP23" s="12"/>
      <c r="TGQ23" s="12"/>
      <c r="TGR23" s="12"/>
      <c r="TGS23" s="12"/>
      <c r="TGT23" s="12"/>
      <c r="TGU23" s="12"/>
      <c r="TGV23" s="12"/>
      <c r="TGW23" s="12"/>
      <c r="TGX23" s="12"/>
      <c r="TGY23" s="12"/>
      <c r="TGZ23" s="12"/>
      <c r="THA23" s="12"/>
      <c r="THB23" s="12"/>
      <c r="THC23" s="12"/>
      <c r="THD23" s="12"/>
      <c r="THE23" s="12"/>
      <c r="THF23" s="12"/>
      <c r="THG23" s="12"/>
      <c r="THH23" s="12"/>
      <c r="THI23" s="12"/>
      <c r="THJ23" s="12"/>
      <c r="THK23" s="12"/>
      <c r="THL23" s="12"/>
      <c r="THM23" s="12"/>
      <c r="THN23" s="12"/>
      <c r="THO23" s="12"/>
      <c r="THP23" s="12"/>
      <c r="THQ23" s="12"/>
      <c r="THR23" s="12"/>
      <c r="THS23" s="12"/>
      <c r="THT23" s="12"/>
      <c r="THU23" s="12"/>
      <c r="THV23" s="12"/>
      <c r="THW23" s="12"/>
      <c r="THX23" s="12"/>
      <c r="THY23" s="12"/>
      <c r="THZ23" s="12"/>
      <c r="TIA23" s="12"/>
      <c r="TIB23" s="12"/>
      <c r="TIC23" s="12"/>
      <c r="TID23" s="12"/>
      <c r="TIE23" s="12"/>
      <c r="TIF23" s="12"/>
      <c r="TIG23" s="12"/>
      <c r="TIH23" s="12"/>
      <c r="TII23" s="12"/>
      <c r="TIJ23" s="12"/>
      <c r="TIK23" s="12"/>
      <c r="TIL23" s="12"/>
      <c r="TIM23" s="12"/>
      <c r="TIN23" s="12"/>
      <c r="TIO23" s="12"/>
      <c r="TIP23" s="12"/>
      <c r="TIQ23" s="12"/>
      <c r="TIR23" s="12"/>
      <c r="TIS23" s="12"/>
      <c r="TIT23" s="12"/>
      <c r="TIU23" s="12"/>
      <c r="TIV23" s="12"/>
      <c r="TIW23" s="12"/>
      <c r="TIX23" s="12"/>
      <c r="TIY23" s="12"/>
      <c r="TIZ23" s="12"/>
      <c r="TJA23" s="12"/>
      <c r="TJB23" s="12"/>
      <c r="TJC23" s="12"/>
      <c r="TJD23" s="12"/>
      <c r="TJE23" s="12"/>
      <c r="TJF23" s="12"/>
      <c r="TJG23" s="12"/>
      <c r="TJH23" s="12"/>
      <c r="TJI23" s="12"/>
      <c r="TJJ23" s="12"/>
      <c r="TJK23" s="12"/>
      <c r="TJL23" s="12"/>
      <c r="TJM23" s="12"/>
      <c r="TJN23" s="12"/>
      <c r="TJO23" s="12"/>
      <c r="TJP23" s="12"/>
      <c r="TJQ23" s="12"/>
      <c r="TJR23" s="12"/>
      <c r="TJS23" s="12"/>
      <c r="TJT23" s="12"/>
      <c r="TJU23" s="12"/>
      <c r="TJV23" s="12"/>
      <c r="TJW23" s="12"/>
      <c r="TJX23" s="12"/>
      <c r="TJY23" s="12"/>
      <c r="TJZ23" s="12"/>
      <c r="TKA23" s="12"/>
      <c r="TKB23" s="12"/>
      <c r="TKC23" s="12"/>
      <c r="TKD23" s="12"/>
      <c r="TKE23" s="12"/>
      <c r="TKF23" s="12"/>
      <c r="TKG23" s="12"/>
      <c r="TKH23" s="12"/>
      <c r="TKI23" s="12"/>
      <c r="TKJ23" s="12"/>
      <c r="TKK23" s="12"/>
      <c r="TKL23" s="12"/>
      <c r="TKM23" s="12"/>
      <c r="TKN23" s="12"/>
      <c r="TKO23" s="12"/>
      <c r="TKP23" s="12"/>
      <c r="TKQ23" s="12"/>
      <c r="TKR23" s="12"/>
      <c r="TKS23" s="12"/>
      <c r="TKT23" s="12"/>
      <c r="TKU23" s="12"/>
      <c r="TKV23" s="12"/>
      <c r="TKW23" s="12"/>
      <c r="TKX23" s="12"/>
      <c r="TKY23" s="12"/>
      <c r="TKZ23" s="12"/>
      <c r="TLA23" s="12"/>
      <c r="TLB23" s="12"/>
      <c r="TLC23" s="12"/>
      <c r="TLD23" s="12"/>
      <c r="TLE23" s="12"/>
      <c r="TLF23" s="12"/>
      <c r="TLG23" s="12"/>
      <c r="TLH23" s="12"/>
      <c r="TLI23" s="12"/>
      <c r="TLJ23" s="12"/>
      <c r="TLK23" s="12"/>
      <c r="TLL23" s="12"/>
      <c r="TLM23" s="12"/>
      <c r="TLN23" s="12"/>
      <c r="TLO23" s="12"/>
      <c r="TLP23" s="12"/>
      <c r="TLQ23" s="12"/>
      <c r="TLR23" s="12"/>
      <c r="TLS23" s="12"/>
      <c r="TLT23" s="12"/>
      <c r="TLU23" s="12"/>
      <c r="TLV23" s="12"/>
      <c r="TLW23" s="12"/>
      <c r="TLX23" s="12"/>
      <c r="TLY23" s="12"/>
      <c r="TLZ23" s="12"/>
      <c r="TMA23" s="12"/>
      <c r="TMB23" s="12"/>
      <c r="TMC23" s="12"/>
      <c r="TMD23" s="12"/>
      <c r="TME23" s="12"/>
      <c r="TMF23" s="12"/>
      <c r="TMG23" s="12"/>
      <c r="TMH23" s="12"/>
      <c r="TMI23" s="12"/>
      <c r="TMJ23" s="12"/>
      <c r="TMK23" s="12"/>
      <c r="TML23" s="12"/>
      <c r="TMM23" s="12"/>
      <c r="TMN23" s="12"/>
      <c r="TMO23" s="12"/>
      <c r="TMP23" s="12"/>
      <c r="TMQ23" s="12"/>
      <c r="TMR23" s="12"/>
      <c r="TMS23" s="12"/>
      <c r="TMT23" s="12"/>
      <c r="TMU23" s="12"/>
      <c r="TMV23" s="12"/>
      <c r="TMW23" s="12"/>
      <c r="TMX23" s="12"/>
      <c r="TMY23" s="12"/>
      <c r="TMZ23" s="12"/>
      <c r="TNA23" s="12"/>
      <c r="TNB23" s="12"/>
      <c r="TNC23" s="12"/>
      <c r="TND23" s="12"/>
      <c r="TNE23" s="12"/>
      <c r="TNF23" s="12"/>
      <c r="TNG23" s="12"/>
      <c r="TNH23" s="12"/>
      <c r="TNI23" s="12"/>
      <c r="TNJ23" s="12"/>
      <c r="TNK23" s="12"/>
      <c r="TNL23" s="12"/>
      <c r="TNM23" s="12"/>
      <c r="TNN23" s="12"/>
      <c r="TNO23" s="12"/>
      <c r="TNP23" s="12"/>
      <c r="TNQ23" s="12"/>
      <c r="TNR23" s="12"/>
      <c r="TNS23" s="12"/>
      <c r="TNT23" s="12"/>
      <c r="TNU23" s="12"/>
      <c r="TNV23" s="12"/>
      <c r="TNW23" s="12"/>
      <c r="TNX23" s="12"/>
      <c r="TNY23" s="12"/>
      <c r="TNZ23" s="12"/>
      <c r="TOA23" s="12"/>
      <c r="TOB23" s="12"/>
      <c r="TOC23" s="12"/>
      <c r="TOD23" s="12"/>
      <c r="TOE23" s="12"/>
      <c r="TOF23" s="12"/>
      <c r="TOG23" s="12"/>
      <c r="TOH23" s="12"/>
      <c r="TOI23" s="12"/>
      <c r="TOJ23" s="12"/>
      <c r="TOK23" s="12"/>
      <c r="TOL23" s="12"/>
      <c r="TOM23" s="12"/>
      <c r="TON23" s="12"/>
      <c r="TOO23" s="12"/>
      <c r="TOP23" s="12"/>
      <c r="TOQ23" s="12"/>
      <c r="TOR23" s="12"/>
      <c r="TOS23" s="12"/>
      <c r="TOT23" s="12"/>
      <c r="TOU23" s="12"/>
      <c r="TOV23" s="12"/>
      <c r="TOW23" s="12"/>
      <c r="TOX23" s="12"/>
      <c r="TOY23" s="12"/>
      <c r="TOZ23" s="12"/>
      <c r="TPA23" s="12"/>
      <c r="TPB23" s="12"/>
      <c r="TPC23" s="12"/>
      <c r="TPD23" s="12"/>
      <c r="TPE23" s="12"/>
      <c r="TPF23" s="12"/>
      <c r="TPG23" s="12"/>
      <c r="TPH23" s="12"/>
      <c r="TPI23" s="12"/>
      <c r="TPJ23" s="12"/>
      <c r="TPK23" s="12"/>
      <c r="TPL23" s="12"/>
      <c r="TPM23" s="12"/>
      <c r="TPN23" s="12"/>
      <c r="TPO23" s="12"/>
      <c r="TPP23" s="12"/>
      <c r="TPQ23" s="12"/>
      <c r="TPR23" s="12"/>
      <c r="TPS23" s="12"/>
      <c r="TPT23" s="12"/>
      <c r="TPU23" s="12"/>
      <c r="TPV23" s="12"/>
      <c r="TPW23" s="12"/>
      <c r="TPX23" s="12"/>
      <c r="TPY23" s="12"/>
      <c r="TPZ23" s="12"/>
      <c r="TQA23" s="12"/>
      <c r="TQB23" s="12"/>
      <c r="TQC23" s="12"/>
      <c r="TQD23" s="12"/>
      <c r="TQE23" s="12"/>
      <c r="TQF23" s="12"/>
      <c r="TQG23" s="12"/>
      <c r="TQH23" s="12"/>
      <c r="TQI23" s="12"/>
      <c r="TQJ23" s="12"/>
      <c r="TQK23" s="12"/>
      <c r="TQL23" s="12"/>
      <c r="TQM23" s="12"/>
      <c r="TQN23" s="12"/>
      <c r="TQO23" s="12"/>
      <c r="TQP23" s="12"/>
      <c r="TQQ23" s="12"/>
      <c r="TQR23" s="12"/>
      <c r="TQS23" s="12"/>
      <c r="TQT23" s="12"/>
      <c r="TQU23" s="12"/>
      <c r="TQV23" s="12"/>
      <c r="TQW23" s="12"/>
      <c r="TQX23" s="12"/>
      <c r="TQY23" s="12"/>
      <c r="TQZ23" s="12"/>
      <c r="TRA23" s="12"/>
      <c r="TRB23" s="12"/>
      <c r="TRC23" s="12"/>
      <c r="TRD23" s="12"/>
      <c r="TRE23" s="12"/>
      <c r="TRF23" s="12"/>
      <c r="TRG23" s="12"/>
      <c r="TRH23" s="12"/>
      <c r="TRI23" s="12"/>
      <c r="TRJ23" s="12"/>
      <c r="TRK23" s="12"/>
      <c r="TRL23" s="12"/>
      <c r="TRM23" s="12"/>
      <c r="TRN23" s="12"/>
      <c r="TRO23" s="12"/>
      <c r="TRP23" s="12"/>
      <c r="TRQ23" s="12"/>
      <c r="TRR23" s="12"/>
      <c r="TRS23" s="12"/>
      <c r="TRT23" s="12"/>
      <c r="TRU23" s="12"/>
      <c r="TRV23" s="12"/>
      <c r="TRW23" s="12"/>
      <c r="TRX23" s="12"/>
      <c r="TRY23" s="12"/>
      <c r="TRZ23" s="12"/>
      <c r="TSA23" s="12"/>
      <c r="TSB23" s="12"/>
      <c r="TSC23" s="12"/>
      <c r="TSD23" s="12"/>
      <c r="TSE23" s="12"/>
      <c r="TSF23" s="12"/>
      <c r="TSG23" s="12"/>
      <c r="TSH23" s="12"/>
      <c r="TSI23" s="12"/>
      <c r="TSJ23" s="12"/>
      <c r="TSK23" s="12"/>
      <c r="TSL23" s="12"/>
      <c r="TSM23" s="12"/>
      <c r="TSN23" s="12"/>
      <c r="TSO23" s="12"/>
      <c r="TSP23" s="12"/>
      <c r="TSQ23" s="12"/>
      <c r="TSR23" s="12"/>
      <c r="TSS23" s="12"/>
      <c r="TST23" s="12"/>
      <c r="TSU23" s="12"/>
      <c r="TSV23" s="12"/>
      <c r="TSW23" s="12"/>
      <c r="TSX23" s="12"/>
      <c r="TSY23" s="12"/>
      <c r="TSZ23" s="12"/>
      <c r="TTA23" s="12"/>
      <c r="TTB23" s="12"/>
      <c r="TTC23" s="12"/>
      <c r="TTD23" s="12"/>
      <c r="TTE23" s="12"/>
      <c r="TTF23" s="12"/>
      <c r="TTG23" s="12"/>
      <c r="TTH23" s="12"/>
      <c r="TTI23" s="12"/>
      <c r="TTJ23" s="12"/>
      <c r="TTK23" s="12"/>
      <c r="TTL23" s="12"/>
      <c r="TTM23" s="12"/>
      <c r="TTN23" s="12"/>
      <c r="TTO23" s="12"/>
      <c r="TTP23" s="12"/>
      <c r="TTQ23" s="12"/>
      <c r="TTR23" s="12"/>
      <c r="TTS23" s="12"/>
      <c r="TTT23" s="12"/>
      <c r="TTU23" s="12"/>
      <c r="TTV23" s="12"/>
      <c r="TTW23" s="12"/>
      <c r="TTX23" s="12"/>
      <c r="TTY23" s="12"/>
      <c r="TTZ23" s="12"/>
      <c r="TUA23" s="12"/>
      <c r="TUB23" s="12"/>
      <c r="TUC23" s="12"/>
      <c r="TUD23" s="12"/>
      <c r="TUE23" s="12"/>
      <c r="TUF23" s="12"/>
      <c r="TUG23" s="12"/>
      <c r="TUH23" s="12"/>
      <c r="TUI23" s="12"/>
      <c r="TUJ23" s="12"/>
      <c r="TUK23" s="12"/>
      <c r="TUL23" s="12"/>
      <c r="TUM23" s="12"/>
      <c r="TUN23" s="12"/>
      <c r="TUO23" s="12"/>
      <c r="TUP23" s="12"/>
      <c r="TUQ23" s="12"/>
      <c r="TUR23" s="12"/>
      <c r="TUS23" s="12"/>
      <c r="TUT23" s="12"/>
      <c r="TUU23" s="12"/>
      <c r="TUV23" s="12"/>
      <c r="TUW23" s="12"/>
      <c r="TUX23" s="12"/>
      <c r="TUY23" s="12"/>
      <c r="TUZ23" s="12"/>
      <c r="TVA23" s="12"/>
      <c r="TVB23" s="12"/>
      <c r="TVC23" s="12"/>
      <c r="TVD23" s="12"/>
      <c r="TVE23" s="12"/>
      <c r="TVF23" s="12"/>
      <c r="TVG23" s="12"/>
      <c r="TVH23" s="12"/>
      <c r="TVI23" s="12"/>
      <c r="TVJ23" s="12"/>
      <c r="TVK23" s="12"/>
      <c r="TVL23" s="12"/>
      <c r="TVM23" s="12"/>
      <c r="TVN23" s="12"/>
      <c r="TVO23" s="12"/>
      <c r="TVP23" s="12"/>
      <c r="TVQ23" s="12"/>
      <c r="TVR23" s="12"/>
      <c r="TVS23" s="12"/>
      <c r="TVT23" s="12"/>
      <c r="TVU23" s="12"/>
      <c r="TVV23" s="12"/>
      <c r="TVW23" s="12"/>
      <c r="TVX23" s="12"/>
      <c r="TVY23" s="12"/>
      <c r="TVZ23" s="12"/>
      <c r="TWA23" s="12"/>
      <c r="TWB23" s="12"/>
      <c r="TWC23" s="12"/>
      <c r="TWD23" s="12"/>
      <c r="TWE23" s="12"/>
      <c r="TWF23" s="12"/>
      <c r="TWG23" s="12"/>
      <c r="TWH23" s="12"/>
      <c r="TWI23" s="12"/>
      <c r="TWJ23" s="12"/>
      <c r="TWK23" s="12"/>
      <c r="TWL23" s="12"/>
      <c r="TWM23" s="12"/>
      <c r="TWN23" s="12"/>
      <c r="TWO23" s="12"/>
      <c r="TWP23" s="12"/>
      <c r="TWQ23" s="12"/>
      <c r="TWR23" s="12"/>
      <c r="TWS23" s="12"/>
      <c r="TWT23" s="12"/>
      <c r="TWU23" s="12"/>
      <c r="TWV23" s="12"/>
      <c r="TWW23" s="12"/>
      <c r="TWX23" s="12"/>
      <c r="TWY23" s="12"/>
      <c r="TWZ23" s="12"/>
      <c r="TXA23" s="12"/>
      <c r="TXB23" s="12"/>
      <c r="TXC23" s="12"/>
      <c r="TXD23" s="12"/>
      <c r="TXE23" s="12"/>
      <c r="TXF23" s="12"/>
      <c r="TXG23" s="12"/>
      <c r="TXH23" s="12"/>
      <c r="TXI23" s="12"/>
      <c r="TXJ23" s="12"/>
      <c r="TXK23" s="12"/>
      <c r="TXL23" s="12"/>
      <c r="TXM23" s="12"/>
      <c r="TXN23" s="12"/>
      <c r="TXO23" s="12"/>
      <c r="TXP23" s="12"/>
      <c r="TXQ23" s="12"/>
      <c r="TXR23" s="12"/>
      <c r="TXS23" s="12"/>
      <c r="TXT23" s="12"/>
      <c r="TXU23" s="12"/>
      <c r="TXV23" s="12"/>
      <c r="TXW23" s="12"/>
      <c r="TXX23" s="12"/>
      <c r="TXY23" s="12"/>
      <c r="TXZ23" s="12"/>
      <c r="TYA23" s="12"/>
      <c r="TYB23" s="12"/>
      <c r="TYC23" s="12"/>
      <c r="TYD23" s="12"/>
      <c r="TYE23" s="12"/>
      <c r="TYF23" s="12"/>
      <c r="TYG23" s="12"/>
      <c r="TYH23" s="12"/>
      <c r="TYI23" s="12"/>
      <c r="TYJ23" s="12"/>
      <c r="TYK23" s="12"/>
      <c r="TYL23" s="12"/>
      <c r="TYM23" s="12"/>
      <c r="TYN23" s="12"/>
      <c r="TYO23" s="12"/>
      <c r="TYP23" s="12"/>
      <c r="TYQ23" s="12"/>
      <c r="TYR23" s="12"/>
      <c r="TYS23" s="12"/>
      <c r="TYT23" s="12"/>
      <c r="TYU23" s="12"/>
      <c r="TYV23" s="12"/>
      <c r="TYW23" s="12"/>
      <c r="TYX23" s="12"/>
      <c r="TYY23" s="12"/>
      <c r="TYZ23" s="12"/>
      <c r="TZA23" s="12"/>
      <c r="TZB23" s="12"/>
      <c r="TZC23" s="12"/>
      <c r="TZD23" s="12"/>
      <c r="TZE23" s="12"/>
      <c r="TZF23" s="12"/>
      <c r="TZG23" s="12"/>
      <c r="TZH23" s="12"/>
      <c r="TZI23" s="12"/>
      <c r="TZJ23" s="12"/>
      <c r="TZK23" s="12"/>
      <c r="TZL23" s="12"/>
      <c r="TZM23" s="12"/>
      <c r="TZN23" s="12"/>
      <c r="TZO23" s="12"/>
      <c r="TZP23" s="12"/>
      <c r="TZQ23" s="12"/>
      <c r="TZR23" s="12"/>
      <c r="TZS23" s="12"/>
      <c r="TZT23" s="12"/>
      <c r="TZU23" s="12"/>
      <c r="TZV23" s="12"/>
      <c r="TZW23" s="12"/>
      <c r="TZX23" s="12"/>
      <c r="TZY23" s="12"/>
      <c r="TZZ23" s="12"/>
      <c r="UAA23" s="12"/>
      <c r="UAB23" s="12"/>
      <c r="UAC23" s="12"/>
      <c r="UAD23" s="12"/>
      <c r="UAE23" s="12"/>
      <c r="UAF23" s="12"/>
      <c r="UAG23" s="12"/>
      <c r="UAH23" s="12"/>
      <c r="UAI23" s="12"/>
      <c r="UAJ23" s="12"/>
      <c r="UAK23" s="12"/>
      <c r="UAL23" s="12"/>
      <c r="UAM23" s="12"/>
      <c r="UAN23" s="12"/>
      <c r="UAO23" s="12"/>
      <c r="UAP23" s="12"/>
      <c r="UAQ23" s="12"/>
      <c r="UAR23" s="12"/>
      <c r="UAS23" s="12"/>
      <c r="UAT23" s="12"/>
      <c r="UAU23" s="12"/>
      <c r="UAV23" s="12"/>
      <c r="UAW23" s="12"/>
      <c r="UAX23" s="12"/>
      <c r="UAY23" s="12"/>
      <c r="UAZ23" s="12"/>
      <c r="UBA23" s="12"/>
      <c r="UBB23" s="12"/>
      <c r="UBC23" s="12"/>
      <c r="UBD23" s="12"/>
      <c r="UBE23" s="12"/>
      <c r="UBF23" s="12"/>
      <c r="UBG23" s="12"/>
      <c r="UBH23" s="12"/>
      <c r="UBI23" s="12"/>
      <c r="UBJ23" s="12"/>
      <c r="UBK23" s="12"/>
      <c r="UBL23" s="12"/>
      <c r="UBM23" s="12"/>
      <c r="UBN23" s="12"/>
      <c r="UBO23" s="12"/>
      <c r="UBP23" s="12"/>
      <c r="UBQ23" s="12"/>
      <c r="UBR23" s="12"/>
      <c r="UBS23" s="12"/>
      <c r="UBT23" s="12"/>
      <c r="UBU23" s="12"/>
      <c r="UBV23" s="12"/>
      <c r="UBW23" s="12"/>
      <c r="UBX23" s="12"/>
      <c r="UBY23" s="12"/>
      <c r="UBZ23" s="12"/>
      <c r="UCA23" s="12"/>
      <c r="UCB23" s="12"/>
      <c r="UCC23" s="12"/>
      <c r="UCD23" s="12"/>
      <c r="UCE23" s="12"/>
      <c r="UCF23" s="12"/>
      <c r="UCG23" s="12"/>
      <c r="UCH23" s="12"/>
      <c r="UCI23" s="12"/>
      <c r="UCJ23" s="12"/>
      <c r="UCK23" s="12"/>
      <c r="UCL23" s="12"/>
      <c r="UCM23" s="12"/>
      <c r="UCN23" s="12"/>
      <c r="UCO23" s="12"/>
      <c r="UCP23" s="12"/>
      <c r="UCQ23" s="12"/>
      <c r="UCR23" s="12"/>
      <c r="UCS23" s="12"/>
      <c r="UCT23" s="12"/>
      <c r="UCU23" s="12"/>
      <c r="UCV23" s="12"/>
      <c r="UCW23" s="12"/>
      <c r="UCX23" s="12"/>
      <c r="UCY23" s="12"/>
      <c r="UCZ23" s="12"/>
      <c r="UDA23" s="12"/>
      <c r="UDB23" s="12"/>
      <c r="UDC23" s="12"/>
      <c r="UDD23" s="12"/>
      <c r="UDE23" s="12"/>
      <c r="UDF23" s="12"/>
      <c r="UDG23" s="12"/>
      <c r="UDH23" s="12"/>
      <c r="UDI23" s="12"/>
      <c r="UDJ23" s="12"/>
      <c r="UDK23" s="12"/>
      <c r="UDL23" s="12"/>
      <c r="UDM23" s="12"/>
      <c r="UDN23" s="12"/>
      <c r="UDO23" s="12"/>
      <c r="UDP23" s="12"/>
      <c r="UDQ23" s="12"/>
      <c r="UDR23" s="12"/>
      <c r="UDS23" s="12"/>
      <c r="UDT23" s="12"/>
      <c r="UDU23" s="12"/>
      <c r="UDV23" s="12"/>
      <c r="UDW23" s="12"/>
      <c r="UDX23" s="12"/>
      <c r="UDY23" s="12"/>
      <c r="UDZ23" s="12"/>
      <c r="UEA23" s="12"/>
      <c r="UEB23" s="12"/>
      <c r="UEC23" s="12"/>
      <c r="UED23" s="12"/>
      <c r="UEE23" s="12"/>
      <c r="UEF23" s="12"/>
      <c r="UEG23" s="12"/>
      <c r="UEH23" s="12"/>
      <c r="UEI23" s="12"/>
      <c r="UEJ23" s="12"/>
      <c r="UEK23" s="12"/>
      <c r="UEL23" s="12"/>
      <c r="UEM23" s="12"/>
      <c r="UEN23" s="12"/>
      <c r="UEO23" s="12"/>
      <c r="UEP23" s="12"/>
      <c r="UEQ23" s="12"/>
      <c r="UER23" s="12"/>
      <c r="UES23" s="12"/>
      <c r="UET23" s="12"/>
      <c r="UEU23" s="12"/>
      <c r="UEV23" s="12"/>
      <c r="UEW23" s="12"/>
      <c r="UEX23" s="12"/>
      <c r="UEY23" s="12"/>
      <c r="UEZ23" s="12"/>
      <c r="UFA23" s="12"/>
      <c r="UFB23" s="12"/>
      <c r="UFC23" s="12"/>
      <c r="UFD23" s="12"/>
      <c r="UFE23" s="12"/>
      <c r="UFF23" s="12"/>
      <c r="UFG23" s="12"/>
      <c r="UFH23" s="12"/>
      <c r="UFI23" s="12"/>
      <c r="UFJ23" s="12"/>
      <c r="UFK23" s="12"/>
      <c r="UFL23" s="12"/>
      <c r="UFM23" s="12"/>
      <c r="UFN23" s="12"/>
      <c r="UFO23" s="12"/>
      <c r="UFP23" s="12"/>
      <c r="UFQ23" s="12"/>
      <c r="UFR23" s="12"/>
      <c r="UFS23" s="12"/>
      <c r="UFT23" s="12"/>
      <c r="UFU23" s="12"/>
      <c r="UFV23" s="12"/>
      <c r="UFW23" s="12"/>
      <c r="UFX23" s="12"/>
      <c r="UFY23" s="12"/>
      <c r="UFZ23" s="12"/>
      <c r="UGA23" s="12"/>
      <c r="UGB23" s="12"/>
      <c r="UGC23" s="12"/>
      <c r="UGD23" s="12"/>
      <c r="UGE23" s="12"/>
      <c r="UGF23" s="12"/>
      <c r="UGG23" s="12"/>
      <c r="UGH23" s="12"/>
      <c r="UGI23" s="12"/>
      <c r="UGJ23" s="12"/>
      <c r="UGK23" s="12"/>
      <c r="UGL23" s="12"/>
      <c r="UGM23" s="12"/>
      <c r="UGN23" s="12"/>
      <c r="UGO23" s="12"/>
      <c r="UGP23" s="12"/>
      <c r="UGQ23" s="12"/>
      <c r="UGR23" s="12"/>
      <c r="UGS23" s="12"/>
      <c r="UGT23" s="12"/>
      <c r="UGU23" s="12"/>
      <c r="UGV23" s="12"/>
      <c r="UGW23" s="12"/>
      <c r="UGX23" s="12"/>
      <c r="UGY23" s="12"/>
      <c r="UGZ23" s="12"/>
      <c r="UHA23" s="12"/>
      <c r="UHB23" s="12"/>
      <c r="UHC23" s="12"/>
      <c r="UHD23" s="12"/>
      <c r="UHE23" s="12"/>
      <c r="UHF23" s="12"/>
      <c r="UHG23" s="12"/>
      <c r="UHH23" s="12"/>
      <c r="UHI23" s="12"/>
      <c r="UHJ23" s="12"/>
      <c r="UHK23" s="12"/>
      <c r="UHL23" s="12"/>
      <c r="UHM23" s="12"/>
      <c r="UHN23" s="12"/>
      <c r="UHO23" s="12"/>
      <c r="UHP23" s="12"/>
      <c r="UHQ23" s="12"/>
      <c r="UHR23" s="12"/>
      <c r="UHS23" s="12"/>
      <c r="UHT23" s="12"/>
      <c r="UHU23" s="12"/>
      <c r="UHV23" s="12"/>
      <c r="UHW23" s="12"/>
      <c r="UHX23" s="12"/>
      <c r="UHY23" s="12"/>
      <c r="UHZ23" s="12"/>
      <c r="UIA23" s="12"/>
      <c r="UIB23" s="12"/>
      <c r="UIC23" s="12"/>
      <c r="UID23" s="12"/>
      <c r="UIE23" s="12"/>
      <c r="UIF23" s="12"/>
      <c r="UIG23" s="12"/>
      <c r="UIH23" s="12"/>
      <c r="UII23" s="12"/>
      <c r="UIJ23" s="12"/>
      <c r="UIK23" s="12"/>
      <c r="UIL23" s="12"/>
      <c r="UIM23" s="12"/>
      <c r="UIN23" s="12"/>
      <c r="UIO23" s="12"/>
      <c r="UIP23" s="12"/>
      <c r="UIQ23" s="12"/>
      <c r="UIR23" s="12"/>
      <c r="UIS23" s="12"/>
      <c r="UIT23" s="12"/>
      <c r="UIU23" s="12"/>
      <c r="UIV23" s="12"/>
      <c r="UIW23" s="12"/>
      <c r="UIX23" s="12"/>
      <c r="UIY23" s="12"/>
      <c r="UIZ23" s="12"/>
      <c r="UJA23" s="12"/>
      <c r="UJB23" s="12"/>
      <c r="UJC23" s="12"/>
      <c r="UJD23" s="12"/>
      <c r="UJE23" s="12"/>
      <c r="UJF23" s="12"/>
      <c r="UJG23" s="12"/>
      <c r="UJH23" s="12"/>
      <c r="UJI23" s="12"/>
      <c r="UJJ23" s="12"/>
      <c r="UJK23" s="12"/>
      <c r="UJL23" s="12"/>
      <c r="UJM23" s="12"/>
      <c r="UJN23" s="12"/>
      <c r="UJO23" s="12"/>
      <c r="UJP23" s="12"/>
      <c r="UJQ23" s="12"/>
      <c r="UJR23" s="12"/>
      <c r="UJS23" s="12"/>
      <c r="UJT23" s="12"/>
      <c r="UJU23" s="12"/>
      <c r="UJV23" s="12"/>
      <c r="UJW23" s="12"/>
      <c r="UJX23" s="12"/>
      <c r="UJY23" s="12"/>
      <c r="UJZ23" s="12"/>
      <c r="UKA23" s="12"/>
      <c r="UKB23" s="12"/>
      <c r="UKC23" s="12"/>
      <c r="UKD23" s="12"/>
      <c r="UKE23" s="12"/>
      <c r="UKF23" s="12"/>
      <c r="UKG23" s="12"/>
      <c r="UKH23" s="12"/>
      <c r="UKI23" s="12"/>
      <c r="UKJ23" s="12"/>
      <c r="UKK23" s="12"/>
      <c r="UKL23" s="12"/>
      <c r="UKM23" s="12"/>
      <c r="UKN23" s="12"/>
      <c r="UKO23" s="12"/>
      <c r="UKP23" s="12"/>
      <c r="UKQ23" s="12"/>
      <c r="UKR23" s="12"/>
      <c r="UKS23" s="12"/>
      <c r="UKT23" s="12"/>
      <c r="UKU23" s="12"/>
      <c r="UKV23" s="12"/>
      <c r="UKW23" s="12"/>
      <c r="UKX23" s="12"/>
      <c r="UKY23" s="12"/>
      <c r="UKZ23" s="12"/>
      <c r="ULA23" s="12"/>
      <c r="ULB23" s="12"/>
      <c r="ULC23" s="12"/>
      <c r="ULD23" s="12"/>
      <c r="ULE23" s="12"/>
      <c r="ULF23" s="12"/>
      <c r="ULG23" s="12"/>
      <c r="ULH23" s="12"/>
      <c r="ULI23" s="12"/>
      <c r="ULJ23" s="12"/>
      <c r="ULK23" s="12"/>
      <c r="ULL23" s="12"/>
      <c r="ULM23" s="12"/>
      <c r="ULN23" s="12"/>
      <c r="ULO23" s="12"/>
      <c r="ULP23" s="12"/>
      <c r="ULQ23" s="12"/>
      <c r="ULR23" s="12"/>
      <c r="ULS23" s="12"/>
      <c r="ULT23" s="12"/>
      <c r="ULU23" s="12"/>
      <c r="ULV23" s="12"/>
      <c r="ULW23" s="12"/>
      <c r="ULX23" s="12"/>
      <c r="ULY23" s="12"/>
      <c r="ULZ23" s="12"/>
      <c r="UMA23" s="12"/>
      <c r="UMB23" s="12"/>
      <c r="UMC23" s="12"/>
      <c r="UMD23" s="12"/>
      <c r="UME23" s="12"/>
      <c r="UMF23" s="12"/>
      <c r="UMG23" s="12"/>
      <c r="UMH23" s="12"/>
      <c r="UMI23" s="12"/>
      <c r="UMJ23" s="12"/>
      <c r="UMK23" s="12"/>
      <c r="UML23" s="12"/>
      <c r="UMM23" s="12"/>
      <c r="UMN23" s="12"/>
      <c r="UMO23" s="12"/>
      <c r="UMP23" s="12"/>
      <c r="UMQ23" s="12"/>
      <c r="UMR23" s="12"/>
      <c r="UMS23" s="12"/>
      <c r="UMT23" s="12"/>
      <c r="UMU23" s="12"/>
      <c r="UMV23" s="12"/>
      <c r="UMW23" s="12"/>
      <c r="UMX23" s="12"/>
      <c r="UMY23" s="12"/>
      <c r="UMZ23" s="12"/>
      <c r="UNA23" s="12"/>
      <c r="UNB23" s="12"/>
      <c r="UNC23" s="12"/>
      <c r="UND23" s="12"/>
      <c r="UNE23" s="12"/>
      <c r="UNF23" s="12"/>
      <c r="UNG23" s="12"/>
      <c r="UNH23" s="12"/>
      <c r="UNI23" s="12"/>
      <c r="UNJ23" s="12"/>
      <c r="UNK23" s="12"/>
      <c r="UNL23" s="12"/>
      <c r="UNM23" s="12"/>
      <c r="UNN23" s="12"/>
      <c r="UNO23" s="12"/>
      <c r="UNP23" s="12"/>
      <c r="UNQ23" s="12"/>
      <c r="UNR23" s="12"/>
      <c r="UNS23" s="12"/>
      <c r="UNT23" s="12"/>
      <c r="UNU23" s="12"/>
      <c r="UNV23" s="12"/>
      <c r="UNW23" s="12"/>
      <c r="UNX23" s="12"/>
      <c r="UNY23" s="12"/>
      <c r="UNZ23" s="12"/>
      <c r="UOA23" s="12"/>
      <c r="UOB23" s="12"/>
      <c r="UOC23" s="12"/>
      <c r="UOD23" s="12"/>
      <c r="UOE23" s="12"/>
      <c r="UOF23" s="12"/>
      <c r="UOG23" s="12"/>
      <c r="UOH23" s="12"/>
      <c r="UOI23" s="12"/>
      <c r="UOJ23" s="12"/>
      <c r="UOK23" s="12"/>
      <c r="UOL23" s="12"/>
      <c r="UOM23" s="12"/>
      <c r="UON23" s="12"/>
      <c r="UOO23" s="12"/>
      <c r="UOP23" s="12"/>
      <c r="UOQ23" s="12"/>
      <c r="UOR23" s="12"/>
      <c r="UOS23" s="12"/>
      <c r="UOT23" s="12"/>
      <c r="UOU23" s="12"/>
      <c r="UOV23" s="12"/>
      <c r="UOW23" s="12"/>
      <c r="UOX23" s="12"/>
      <c r="UOY23" s="12"/>
      <c r="UOZ23" s="12"/>
      <c r="UPA23" s="12"/>
      <c r="UPB23" s="12"/>
      <c r="UPC23" s="12"/>
      <c r="UPD23" s="12"/>
      <c r="UPE23" s="12"/>
      <c r="UPF23" s="12"/>
      <c r="UPG23" s="12"/>
      <c r="UPH23" s="12"/>
      <c r="UPI23" s="12"/>
      <c r="UPJ23" s="12"/>
      <c r="UPK23" s="12"/>
      <c r="UPL23" s="12"/>
      <c r="UPM23" s="12"/>
      <c r="UPN23" s="12"/>
      <c r="UPO23" s="12"/>
      <c r="UPP23" s="12"/>
      <c r="UPQ23" s="12"/>
      <c r="UPR23" s="12"/>
      <c r="UPS23" s="12"/>
      <c r="UPT23" s="12"/>
      <c r="UPU23" s="12"/>
      <c r="UPV23" s="12"/>
      <c r="UPW23" s="12"/>
      <c r="UPX23" s="12"/>
      <c r="UPY23" s="12"/>
      <c r="UPZ23" s="12"/>
      <c r="UQA23" s="12"/>
      <c r="UQB23" s="12"/>
      <c r="UQC23" s="12"/>
      <c r="UQD23" s="12"/>
      <c r="UQE23" s="12"/>
      <c r="UQF23" s="12"/>
      <c r="UQG23" s="12"/>
      <c r="UQH23" s="12"/>
      <c r="UQI23" s="12"/>
      <c r="UQJ23" s="12"/>
      <c r="UQK23" s="12"/>
      <c r="UQL23" s="12"/>
      <c r="UQM23" s="12"/>
      <c r="UQN23" s="12"/>
      <c r="UQO23" s="12"/>
      <c r="UQP23" s="12"/>
      <c r="UQQ23" s="12"/>
      <c r="UQR23" s="12"/>
      <c r="UQS23" s="12"/>
      <c r="UQT23" s="12"/>
      <c r="UQU23" s="12"/>
      <c r="UQV23" s="12"/>
      <c r="UQW23" s="12"/>
      <c r="UQX23" s="12"/>
      <c r="UQY23" s="12"/>
      <c r="UQZ23" s="12"/>
      <c r="URA23" s="12"/>
      <c r="URB23" s="12"/>
      <c r="URC23" s="12"/>
      <c r="URD23" s="12"/>
      <c r="URE23" s="12"/>
      <c r="URF23" s="12"/>
      <c r="URG23" s="12"/>
      <c r="URH23" s="12"/>
      <c r="URI23" s="12"/>
      <c r="URJ23" s="12"/>
      <c r="URK23" s="12"/>
      <c r="URL23" s="12"/>
      <c r="URM23" s="12"/>
      <c r="URN23" s="12"/>
      <c r="URO23" s="12"/>
      <c r="URP23" s="12"/>
      <c r="URQ23" s="12"/>
      <c r="URR23" s="12"/>
      <c r="URS23" s="12"/>
      <c r="URT23" s="12"/>
      <c r="URU23" s="12"/>
      <c r="URV23" s="12"/>
      <c r="URW23" s="12"/>
      <c r="URX23" s="12"/>
      <c r="URY23" s="12"/>
      <c r="URZ23" s="12"/>
      <c r="USA23" s="12"/>
      <c r="USB23" s="12"/>
      <c r="USC23" s="12"/>
      <c r="USD23" s="12"/>
      <c r="USE23" s="12"/>
      <c r="USF23" s="12"/>
      <c r="USG23" s="12"/>
      <c r="USH23" s="12"/>
      <c r="USI23" s="12"/>
      <c r="USJ23" s="12"/>
      <c r="USK23" s="12"/>
      <c r="USL23" s="12"/>
      <c r="USM23" s="12"/>
      <c r="USN23" s="12"/>
      <c r="USO23" s="12"/>
      <c r="USP23" s="12"/>
      <c r="USQ23" s="12"/>
      <c r="USR23" s="12"/>
      <c r="USS23" s="12"/>
      <c r="UST23" s="12"/>
      <c r="USU23" s="12"/>
      <c r="USV23" s="12"/>
      <c r="USW23" s="12"/>
      <c r="USX23" s="12"/>
      <c r="USY23" s="12"/>
      <c r="USZ23" s="12"/>
      <c r="UTA23" s="12"/>
      <c r="UTB23" s="12"/>
      <c r="UTC23" s="12"/>
      <c r="UTD23" s="12"/>
      <c r="UTE23" s="12"/>
      <c r="UTF23" s="12"/>
      <c r="UTG23" s="12"/>
      <c r="UTH23" s="12"/>
      <c r="UTI23" s="12"/>
      <c r="UTJ23" s="12"/>
      <c r="UTK23" s="12"/>
      <c r="UTL23" s="12"/>
      <c r="UTM23" s="12"/>
      <c r="UTN23" s="12"/>
      <c r="UTO23" s="12"/>
      <c r="UTP23" s="12"/>
      <c r="UTQ23" s="12"/>
      <c r="UTR23" s="12"/>
      <c r="UTS23" s="12"/>
      <c r="UTT23" s="12"/>
      <c r="UTU23" s="12"/>
      <c r="UTV23" s="12"/>
      <c r="UTW23" s="12"/>
      <c r="UTX23" s="12"/>
      <c r="UTY23" s="12"/>
      <c r="UTZ23" s="12"/>
      <c r="UUA23" s="12"/>
      <c r="UUB23" s="12"/>
      <c r="UUC23" s="12"/>
      <c r="UUD23" s="12"/>
      <c r="UUE23" s="12"/>
      <c r="UUF23" s="12"/>
      <c r="UUG23" s="12"/>
      <c r="UUH23" s="12"/>
      <c r="UUI23" s="12"/>
      <c r="UUJ23" s="12"/>
      <c r="UUK23" s="12"/>
      <c r="UUL23" s="12"/>
      <c r="UUM23" s="12"/>
      <c r="UUN23" s="12"/>
      <c r="UUO23" s="12"/>
      <c r="UUP23" s="12"/>
      <c r="UUQ23" s="12"/>
      <c r="UUR23" s="12"/>
      <c r="UUS23" s="12"/>
      <c r="UUT23" s="12"/>
      <c r="UUU23" s="12"/>
      <c r="UUV23" s="12"/>
      <c r="UUW23" s="12"/>
      <c r="UUX23" s="12"/>
      <c r="UUY23" s="12"/>
      <c r="UUZ23" s="12"/>
      <c r="UVA23" s="12"/>
      <c r="UVB23" s="12"/>
      <c r="UVC23" s="12"/>
      <c r="UVD23" s="12"/>
      <c r="UVE23" s="12"/>
      <c r="UVF23" s="12"/>
      <c r="UVG23" s="12"/>
      <c r="UVH23" s="12"/>
      <c r="UVI23" s="12"/>
      <c r="UVJ23" s="12"/>
      <c r="UVK23" s="12"/>
      <c r="UVL23" s="12"/>
      <c r="UVM23" s="12"/>
      <c r="UVN23" s="12"/>
      <c r="UVO23" s="12"/>
      <c r="UVP23" s="12"/>
      <c r="UVQ23" s="12"/>
      <c r="UVR23" s="12"/>
      <c r="UVS23" s="12"/>
      <c r="UVT23" s="12"/>
      <c r="UVU23" s="12"/>
      <c r="UVV23" s="12"/>
      <c r="UVW23" s="12"/>
      <c r="UVX23" s="12"/>
      <c r="UVY23" s="12"/>
      <c r="UVZ23" s="12"/>
      <c r="UWA23" s="12"/>
      <c r="UWB23" s="12"/>
      <c r="UWC23" s="12"/>
      <c r="UWD23" s="12"/>
      <c r="UWE23" s="12"/>
      <c r="UWF23" s="12"/>
      <c r="UWG23" s="12"/>
      <c r="UWH23" s="12"/>
      <c r="UWI23" s="12"/>
      <c r="UWJ23" s="12"/>
      <c r="UWK23" s="12"/>
      <c r="UWL23" s="12"/>
      <c r="UWM23" s="12"/>
      <c r="UWN23" s="12"/>
      <c r="UWO23" s="12"/>
      <c r="UWP23" s="12"/>
      <c r="UWQ23" s="12"/>
      <c r="UWR23" s="12"/>
      <c r="UWS23" s="12"/>
      <c r="UWT23" s="12"/>
      <c r="UWU23" s="12"/>
      <c r="UWV23" s="12"/>
      <c r="UWW23" s="12"/>
      <c r="UWX23" s="12"/>
      <c r="UWY23" s="12"/>
      <c r="UWZ23" s="12"/>
      <c r="UXA23" s="12"/>
      <c r="UXB23" s="12"/>
      <c r="UXC23" s="12"/>
      <c r="UXD23" s="12"/>
      <c r="UXE23" s="12"/>
      <c r="UXF23" s="12"/>
      <c r="UXG23" s="12"/>
      <c r="UXH23" s="12"/>
      <c r="UXI23" s="12"/>
      <c r="UXJ23" s="12"/>
      <c r="UXK23" s="12"/>
      <c r="UXL23" s="12"/>
      <c r="UXM23" s="12"/>
      <c r="UXN23" s="12"/>
      <c r="UXO23" s="12"/>
      <c r="UXP23" s="12"/>
      <c r="UXQ23" s="12"/>
      <c r="UXR23" s="12"/>
      <c r="UXS23" s="12"/>
      <c r="UXT23" s="12"/>
      <c r="UXU23" s="12"/>
      <c r="UXV23" s="12"/>
      <c r="UXW23" s="12"/>
      <c r="UXX23" s="12"/>
      <c r="UXY23" s="12"/>
      <c r="UXZ23" s="12"/>
      <c r="UYA23" s="12"/>
      <c r="UYB23" s="12"/>
      <c r="UYC23" s="12"/>
      <c r="UYD23" s="12"/>
      <c r="UYE23" s="12"/>
      <c r="UYF23" s="12"/>
      <c r="UYG23" s="12"/>
      <c r="UYH23" s="12"/>
      <c r="UYI23" s="12"/>
      <c r="UYJ23" s="12"/>
      <c r="UYK23" s="12"/>
      <c r="UYL23" s="12"/>
      <c r="UYM23" s="12"/>
      <c r="UYN23" s="12"/>
      <c r="UYO23" s="12"/>
      <c r="UYP23" s="12"/>
      <c r="UYQ23" s="12"/>
      <c r="UYR23" s="12"/>
      <c r="UYS23" s="12"/>
      <c r="UYT23" s="12"/>
      <c r="UYU23" s="12"/>
      <c r="UYV23" s="12"/>
      <c r="UYW23" s="12"/>
      <c r="UYX23" s="12"/>
      <c r="UYY23" s="12"/>
      <c r="UYZ23" s="12"/>
      <c r="UZA23" s="12"/>
      <c r="UZB23" s="12"/>
      <c r="UZC23" s="12"/>
      <c r="UZD23" s="12"/>
      <c r="UZE23" s="12"/>
      <c r="UZF23" s="12"/>
      <c r="UZG23" s="12"/>
      <c r="UZH23" s="12"/>
      <c r="UZI23" s="12"/>
      <c r="UZJ23" s="12"/>
      <c r="UZK23" s="12"/>
      <c r="UZL23" s="12"/>
      <c r="UZM23" s="12"/>
      <c r="UZN23" s="12"/>
      <c r="UZO23" s="12"/>
      <c r="UZP23" s="12"/>
      <c r="UZQ23" s="12"/>
      <c r="UZR23" s="12"/>
      <c r="UZS23" s="12"/>
      <c r="UZT23" s="12"/>
      <c r="UZU23" s="12"/>
      <c r="UZV23" s="12"/>
      <c r="UZW23" s="12"/>
      <c r="UZX23" s="12"/>
      <c r="UZY23" s="12"/>
      <c r="UZZ23" s="12"/>
      <c r="VAA23" s="12"/>
      <c r="VAB23" s="12"/>
      <c r="VAC23" s="12"/>
      <c r="VAD23" s="12"/>
      <c r="VAE23" s="12"/>
      <c r="VAF23" s="12"/>
      <c r="VAG23" s="12"/>
      <c r="VAH23" s="12"/>
      <c r="VAI23" s="12"/>
      <c r="VAJ23" s="12"/>
      <c r="VAK23" s="12"/>
      <c r="VAL23" s="12"/>
      <c r="VAM23" s="12"/>
      <c r="VAN23" s="12"/>
      <c r="VAO23" s="12"/>
      <c r="VAP23" s="12"/>
      <c r="VAQ23" s="12"/>
      <c r="VAR23" s="12"/>
      <c r="VAS23" s="12"/>
      <c r="VAT23" s="12"/>
      <c r="VAU23" s="12"/>
      <c r="VAV23" s="12"/>
      <c r="VAW23" s="12"/>
      <c r="VAX23" s="12"/>
      <c r="VAY23" s="12"/>
      <c r="VAZ23" s="12"/>
      <c r="VBA23" s="12"/>
      <c r="VBB23" s="12"/>
      <c r="VBC23" s="12"/>
      <c r="VBD23" s="12"/>
      <c r="VBE23" s="12"/>
      <c r="VBF23" s="12"/>
      <c r="VBG23" s="12"/>
      <c r="VBH23" s="12"/>
      <c r="VBI23" s="12"/>
      <c r="VBJ23" s="12"/>
      <c r="VBK23" s="12"/>
      <c r="VBL23" s="12"/>
      <c r="VBM23" s="12"/>
      <c r="VBN23" s="12"/>
      <c r="VBO23" s="12"/>
      <c r="VBP23" s="12"/>
      <c r="VBQ23" s="12"/>
      <c r="VBR23" s="12"/>
      <c r="VBS23" s="12"/>
      <c r="VBT23" s="12"/>
      <c r="VBU23" s="12"/>
      <c r="VBV23" s="12"/>
      <c r="VBW23" s="12"/>
      <c r="VBX23" s="12"/>
      <c r="VBY23" s="12"/>
      <c r="VBZ23" s="12"/>
      <c r="VCA23" s="12"/>
      <c r="VCB23" s="12"/>
      <c r="VCC23" s="12"/>
      <c r="VCD23" s="12"/>
      <c r="VCE23" s="12"/>
      <c r="VCF23" s="12"/>
      <c r="VCG23" s="12"/>
      <c r="VCH23" s="12"/>
      <c r="VCI23" s="12"/>
      <c r="VCJ23" s="12"/>
      <c r="VCK23" s="12"/>
      <c r="VCL23" s="12"/>
      <c r="VCM23" s="12"/>
      <c r="VCN23" s="12"/>
      <c r="VCO23" s="12"/>
      <c r="VCP23" s="12"/>
      <c r="VCQ23" s="12"/>
      <c r="VCR23" s="12"/>
      <c r="VCS23" s="12"/>
      <c r="VCT23" s="12"/>
      <c r="VCU23" s="12"/>
      <c r="VCV23" s="12"/>
      <c r="VCW23" s="12"/>
      <c r="VCX23" s="12"/>
      <c r="VCY23" s="12"/>
      <c r="VCZ23" s="12"/>
      <c r="VDA23" s="12"/>
      <c r="VDB23" s="12"/>
      <c r="VDC23" s="12"/>
      <c r="VDD23" s="12"/>
      <c r="VDE23" s="12"/>
      <c r="VDF23" s="12"/>
      <c r="VDG23" s="12"/>
      <c r="VDH23" s="12"/>
      <c r="VDI23" s="12"/>
      <c r="VDJ23" s="12"/>
      <c r="VDK23" s="12"/>
      <c r="VDL23" s="12"/>
      <c r="VDM23" s="12"/>
      <c r="VDN23" s="12"/>
      <c r="VDO23" s="12"/>
      <c r="VDP23" s="12"/>
      <c r="VDQ23" s="12"/>
      <c r="VDR23" s="12"/>
      <c r="VDS23" s="12"/>
      <c r="VDT23" s="12"/>
      <c r="VDU23" s="12"/>
      <c r="VDV23" s="12"/>
      <c r="VDW23" s="12"/>
      <c r="VDX23" s="12"/>
      <c r="VDY23" s="12"/>
      <c r="VDZ23" s="12"/>
      <c r="VEA23" s="12"/>
      <c r="VEB23" s="12"/>
      <c r="VEC23" s="12"/>
      <c r="VED23" s="12"/>
      <c r="VEE23" s="12"/>
      <c r="VEF23" s="12"/>
      <c r="VEG23" s="12"/>
      <c r="VEH23" s="12"/>
      <c r="VEI23" s="12"/>
      <c r="VEJ23" s="12"/>
      <c r="VEK23" s="12"/>
      <c r="VEL23" s="12"/>
      <c r="VEM23" s="12"/>
      <c r="VEN23" s="12"/>
      <c r="VEO23" s="12"/>
      <c r="VEP23" s="12"/>
      <c r="VEQ23" s="12"/>
      <c r="VER23" s="12"/>
      <c r="VES23" s="12"/>
      <c r="VET23" s="12"/>
      <c r="VEU23" s="12"/>
      <c r="VEV23" s="12"/>
      <c r="VEW23" s="12"/>
      <c r="VEX23" s="12"/>
      <c r="VEY23" s="12"/>
      <c r="VEZ23" s="12"/>
      <c r="VFA23" s="12"/>
      <c r="VFB23" s="12"/>
      <c r="VFC23" s="12"/>
      <c r="VFD23" s="12"/>
      <c r="VFE23" s="12"/>
      <c r="VFF23" s="12"/>
      <c r="VFG23" s="12"/>
      <c r="VFH23" s="12"/>
      <c r="VFI23" s="12"/>
      <c r="VFJ23" s="12"/>
      <c r="VFK23" s="12"/>
      <c r="VFL23" s="12"/>
      <c r="VFM23" s="12"/>
      <c r="VFN23" s="12"/>
      <c r="VFO23" s="12"/>
      <c r="VFP23" s="12"/>
      <c r="VFQ23" s="12"/>
      <c r="VFR23" s="12"/>
      <c r="VFS23" s="12"/>
      <c r="VFT23" s="12"/>
      <c r="VFU23" s="12"/>
      <c r="VFV23" s="12"/>
      <c r="VFW23" s="12"/>
      <c r="VFX23" s="12"/>
      <c r="VFY23" s="12"/>
      <c r="VFZ23" s="12"/>
      <c r="VGA23" s="12"/>
      <c r="VGB23" s="12"/>
      <c r="VGC23" s="12"/>
      <c r="VGD23" s="12"/>
      <c r="VGE23" s="12"/>
      <c r="VGF23" s="12"/>
      <c r="VGG23" s="12"/>
      <c r="VGH23" s="12"/>
      <c r="VGI23" s="12"/>
      <c r="VGJ23" s="12"/>
      <c r="VGK23" s="12"/>
      <c r="VGL23" s="12"/>
      <c r="VGM23" s="12"/>
      <c r="VGN23" s="12"/>
      <c r="VGO23" s="12"/>
      <c r="VGP23" s="12"/>
      <c r="VGQ23" s="12"/>
      <c r="VGR23" s="12"/>
      <c r="VGS23" s="12"/>
      <c r="VGT23" s="12"/>
      <c r="VGU23" s="12"/>
      <c r="VGV23" s="12"/>
      <c r="VGW23" s="12"/>
      <c r="VGX23" s="12"/>
      <c r="VGY23" s="12"/>
      <c r="VGZ23" s="12"/>
      <c r="VHA23" s="12"/>
      <c r="VHB23" s="12"/>
      <c r="VHC23" s="12"/>
      <c r="VHD23" s="12"/>
      <c r="VHE23" s="12"/>
      <c r="VHF23" s="12"/>
      <c r="VHG23" s="12"/>
      <c r="VHH23" s="12"/>
      <c r="VHI23" s="12"/>
      <c r="VHJ23" s="12"/>
      <c r="VHK23" s="12"/>
      <c r="VHL23" s="12"/>
      <c r="VHM23" s="12"/>
      <c r="VHN23" s="12"/>
      <c r="VHO23" s="12"/>
      <c r="VHP23" s="12"/>
      <c r="VHQ23" s="12"/>
      <c r="VHR23" s="12"/>
      <c r="VHS23" s="12"/>
      <c r="VHT23" s="12"/>
      <c r="VHU23" s="12"/>
      <c r="VHV23" s="12"/>
      <c r="VHW23" s="12"/>
      <c r="VHX23" s="12"/>
      <c r="VHY23" s="12"/>
      <c r="VHZ23" s="12"/>
      <c r="VIA23" s="12"/>
      <c r="VIB23" s="12"/>
      <c r="VIC23" s="12"/>
      <c r="VID23" s="12"/>
      <c r="VIE23" s="12"/>
      <c r="VIF23" s="12"/>
      <c r="VIG23" s="12"/>
      <c r="VIH23" s="12"/>
      <c r="VII23" s="12"/>
      <c r="VIJ23" s="12"/>
      <c r="VIK23" s="12"/>
      <c r="VIL23" s="12"/>
      <c r="VIM23" s="12"/>
      <c r="VIN23" s="12"/>
      <c r="VIO23" s="12"/>
      <c r="VIP23" s="12"/>
      <c r="VIQ23" s="12"/>
      <c r="VIR23" s="12"/>
      <c r="VIS23" s="12"/>
      <c r="VIT23" s="12"/>
      <c r="VIU23" s="12"/>
      <c r="VIV23" s="12"/>
      <c r="VIW23" s="12"/>
      <c r="VIX23" s="12"/>
      <c r="VIY23" s="12"/>
      <c r="VIZ23" s="12"/>
      <c r="VJA23" s="12"/>
      <c r="VJB23" s="12"/>
      <c r="VJC23" s="12"/>
      <c r="VJD23" s="12"/>
      <c r="VJE23" s="12"/>
      <c r="VJF23" s="12"/>
      <c r="VJG23" s="12"/>
      <c r="VJH23" s="12"/>
      <c r="VJI23" s="12"/>
      <c r="VJJ23" s="12"/>
      <c r="VJK23" s="12"/>
      <c r="VJL23" s="12"/>
      <c r="VJM23" s="12"/>
      <c r="VJN23" s="12"/>
      <c r="VJO23" s="12"/>
      <c r="VJP23" s="12"/>
      <c r="VJQ23" s="12"/>
      <c r="VJR23" s="12"/>
      <c r="VJS23" s="12"/>
      <c r="VJT23" s="12"/>
      <c r="VJU23" s="12"/>
      <c r="VJV23" s="12"/>
      <c r="VJW23" s="12"/>
      <c r="VJX23" s="12"/>
      <c r="VJY23" s="12"/>
      <c r="VJZ23" s="12"/>
      <c r="VKA23" s="12"/>
      <c r="VKB23" s="12"/>
      <c r="VKC23" s="12"/>
      <c r="VKD23" s="12"/>
      <c r="VKE23" s="12"/>
      <c r="VKF23" s="12"/>
      <c r="VKG23" s="12"/>
      <c r="VKH23" s="12"/>
      <c r="VKI23" s="12"/>
      <c r="VKJ23" s="12"/>
      <c r="VKK23" s="12"/>
      <c r="VKL23" s="12"/>
      <c r="VKM23" s="12"/>
      <c r="VKN23" s="12"/>
      <c r="VKO23" s="12"/>
      <c r="VKP23" s="12"/>
      <c r="VKQ23" s="12"/>
      <c r="VKR23" s="12"/>
      <c r="VKS23" s="12"/>
      <c r="VKT23" s="12"/>
      <c r="VKU23" s="12"/>
      <c r="VKV23" s="12"/>
      <c r="VKW23" s="12"/>
      <c r="VKX23" s="12"/>
      <c r="VKY23" s="12"/>
      <c r="VKZ23" s="12"/>
      <c r="VLA23" s="12"/>
      <c r="VLB23" s="12"/>
      <c r="VLC23" s="12"/>
      <c r="VLD23" s="12"/>
      <c r="VLE23" s="12"/>
      <c r="VLF23" s="12"/>
      <c r="VLG23" s="12"/>
      <c r="VLH23" s="12"/>
      <c r="VLI23" s="12"/>
      <c r="VLJ23" s="12"/>
      <c r="VLK23" s="12"/>
      <c r="VLL23" s="12"/>
      <c r="VLM23" s="12"/>
      <c r="VLN23" s="12"/>
      <c r="VLO23" s="12"/>
      <c r="VLP23" s="12"/>
      <c r="VLQ23" s="12"/>
      <c r="VLR23" s="12"/>
      <c r="VLS23" s="12"/>
      <c r="VLT23" s="12"/>
      <c r="VLU23" s="12"/>
      <c r="VLV23" s="12"/>
      <c r="VLW23" s="12"/>
      <c r="VLX23" s="12"/>
      <c r="VLY23" s="12"/>
      <c r="VLZ23" s="12"/>
      <c r="VMA23" s="12"/>
      <c r="VMB23" s="12"/>
      <c r="VMC23" s="12"/>
      <c r="VMD23" s="12"/>
      <c r="VME23" s="12"/>
      <c r="VMF23" s="12"/>
      <c r="VMG23" s="12"/>
      <c r="VMH23" s="12"/>
      <c r="VMI23" s="12"/>
      <c r="VMJ23" s="12"/>
      <c r="VMK23" s="12"/>
      <c r="VML23" s="12"/>
      <c r="VMM23" s="12"/>
      <c r="VMN23" s="12"/>
      <c r="VMO23" s="12"/>
      <c r="VMP23" s="12"/>
      <c r="VMQ23" s="12"/>
      <c r="VMR23" s="12"/>
      <c r="VMS23" s="12"/>
      <c r="VMT23" s="12"/>
      <c r="VMU23" s="12"/>
      <c r="VMV23" s="12"/>
      <c r="VMW23" s="12"/>
      <c r="VMX23" s="12"/>
      <c r="VMY23" s="12"/>
      <c r="VMZ23" s="12"/>
      <c r="VNA23" s="12"/>
      <c r="VNB23" s="12"/>
      <c r="VNC23" s="12"/>
      <c r="VND23" s="12"/>
      <c r="VNE23" s="12"/>
      <c r="VNF23" s="12"/>
      <c r="VNG23" s="12"/>
      <c r="VNH23" s="12"/>
      <c r="VNI23" s="12"/>
      <c r="VNJ23" s="12"/>
      <c r="VNK23" s="12"/>
      <c r="VNL23" s="12"/>
      <c r="VNM23" s="12"/>
      <c r="VNN23" s="12"/>
      <c r="VNO23" s="12"/>
      <c r="VNP23" s="12"/>
      <c r="VNQ23" s="12"/>
      <c r="VNR23" s="12"/>
      <c r="VNS23" s="12"/>
      <c r="VNT23" s="12"/>
      <c r="VNU23" s="12"/>
      <c r="VNV23" s="12"/>
      <c r="VNW23" s="12"/>
      <c r="VNX23" s="12"/>
      <c r="VNY23" s="12"/>
      <c r="VNZ23" s="12"/>
      <c r="VOA23" s="12"/>
      <c r="VOB23" s="12"/>
      <c r="VOC23" s="12"/>
      <c r="VOD23" s="12"/>
      <c r="VOE23" s="12"/>
      <c r="VOF23" s="12"/>
      <c r="VOG23" s="12"/>
      <c r="VOH23" s="12"/>
      <c r="VOI23" s="12"/>
      <c r="VOJ23" s="12"/>
      <c r="VOK23" s="12"/>
      <c r="VOL23" s="12"/>
      <c r="VOM23" s="12"/>
      <c r="VON23" s="12"/>
      <c r="VOO23" s="12"/>
      <c r="VOP23" s="12"/>
      <c r="VOQ23" s="12"/>
      <c r="VOR23" s="12"/>
      <c r="VOS23" s="12"/>
      <c r="VOT23" s="12"/>
      <c r="VOU23" s="12"/>
      <c r="VOV23" s="12"/>
      <c r="VOW23" s="12"/>
      <c r="VOX23" s="12"/>
      <c r="VOY23" s="12"/>
      <c r="VOZ23" s="12"/>
      <c r="VPA23" s="12"/>
      <c r="VPB23" s="12"/>
      <c r="VPC23" s="12"/>
      <c r="VPD23" s="12"/>
      <c r="VPE23" s="12"/>
      <c r="VPF23" s="12"/>
      <c r="VPG23" s="12"/>
      <c r="VPH23" s="12"/>
      <c r="VPI23" s="12"/>
      <c r="VPJ23" s="12"/>
      <c r="VPK23" s="12"/>
      <c r="VPL23" s="12"/>
      <c r="VPM23" s="12"/>
      <c r="VPN23" s="12"/>
      <c r="VPO23" s="12"/>
      <c r="VPP23" s="12"/>
      <c r="VPQ23" s="12"/>
      <c r="VPR23" s="12"/>
      <c r="VPS23" s="12"/>
      <c r="VPT23" s="12"/>
      <c r="VPU23" s="12"/>
      <c r="VPV23" s="12"/>
      <c r="VPW23" s="12"/>
      <c r="VPX23" s="12"/>
      <c r="VPY23" s="12"/>
      <c r="VPZ23" s="12"/>
      <c r="VQA23" s="12"/>
      <c r="VQB23" s="12"/>
      <c r="VQC23" s="12"/>
      <c r="VQD23" s="12"/>
      <c r="VQE23" s="12"/>
      <c r="VQF23" s="12"/>
      <c r="VQG23" s="12"/>
      <c r="VQH23" s="12"/>
      <c r="VQI23" s="12"/>
      <c r="VQJ23" s="12"/>
      <c r="VQK23" s="12"/>
      <c r="VQL23" s="12"/>
      <c r="VQM23" s="12"/>
      <c r="VQN23" s="12"/>
      <c r="VQO23" s="12"/>
      <c r="VQP23" s="12"/>
      <c r="VQQ23" s="12"/>
      <c r="VQR23" s="12"/>
      <c r="VQS23" s="12"/>
      <c r="VQT23" s="12"/>
      <c r="VQU23" s="12"/>
      <c r="VQV23" s="12"/>
      <c r="VQW23" s="12"/>
      <c r="VQX23" s="12"/>
      <c r="VQY23" s="12"/>
      <c r="VQZ23" s="12"/>
      <c r="VRA23" s="12"/>
      <c r="VRB23" s="12"/>
      <c r="VRC23" s="12"/>
      <c r="VRD23" s="12"/>
      <c r="VRE23" s="12"/>
      <c r="VRF23" s="12"/>
      <c r="VRG23" s="12"/>
      <c r="VRH23" s="12"/>
      <c r="VRI23" s="12"/>
      <c r="VRJ23" s="12"/>
      <c r="VRK23" s="12"/>
      <c r="VRL23" s="12"/>
      <c r="VRM23" s="12"/>
      <c r="VRN23" s="12"/>
      <c r="VRO23" s="12"/>
      <c r="VRP23" s="12"/>
      <c r="VRQ23" s="12"/>
      <c r="VRR23" s="12"/>
      <c r="VRS23" s="12"/>
      <c r="VRT23" s="12"/>
      <c r="VRU23" s="12"/>
      <c r="VRV23" s="12"/>
      <c r="VRW23" s="12"/>
      <c r="VRX23" s="12"/>
      <c r="VRY23" s="12"/>
      <c r="VRZ23" s="12"/>
      <c r="VSA23" s="12"/>
      <c r="VSB23" s="12"/>
      <c r="VSC23" s="12"/>
      <c r="VSD23" s="12"/>
      <c r="VSE23" s="12"/>
      <c r="VSF23" s="12"/>
      <c r="VSG23" s="12"/>
      <c r="VSH23" s="12"/>
      <c r="VSI23" s="12"/>
      <c r="VSJ23" s="12"/>
      <c r="VSK23" s="12"/>
      <c r="VSL23" s="12"/>
      <c r="VSM23" s="12"/>
      <c r="VSN23" s="12"/>
      <c r="VSO23" s="12"/>
      <c r="VSP23" s="12"/>
      <c r="VSQ23" s="12"/>
      <c r="VSR23" s="12"/>
      <c r="VSS23" s="12"/>
      <c r="VST23" s="12"/>
      <c r="VSU23" s="12"/>
      <c r="VSV23" s="12"/>
      <c r="VSW23" s="12"/>
      <c r="VSX23" s="12"/>
      <c r="VSY23" s="12"/>
      <c r="VSZ23" s="12"/>
      <c r="VTA23" s="12"/>
      <c r="VTB23" s="12"/>
      <c r="VTC23" s="12"/>
      <c r="VTD23" s="12"/>
      <c r="VTE23" s="12"/>
      <c r="VTF23" s="12"/>
      <c r="VTG23" s="12"/>
      <c r="VTH23" s="12"/>
      <c r="VTI23" s="12"/>
      <c r="VTJ23" s="12"/>
      <c r="VTK23" s="12"/>
      <c r="VTL23" s="12"/>
      <c r="VTM23" s="12"/>
      <c r="VTN23" s="12"/>
      <c r="VTO23" s="12"/>
      <c r="VTP23" s="12"/>
      <c r="VTQ23" s="12"/>
      <c r="VTR23" s="12"/>
      <c r="VTS23" s="12"/>
      <c r="VTT23" s="12"/>
      <c r="VTU23" s="12"/>
      <c r="VTV23" s="12"/>
      <c r="VTW23" s="12"/>
      <c r="VTX23" s="12"/>
      <c r="VTY23" s="12"/>
      <c r="VTZ23" s="12"/>
      <c r="VUA23" s="12"/>
      <c r="VUB23" s="12"/>
      <c r="VUC23" s="12"/>
      <c r="VUD23" s="12"/>
      <c r="VUE23" s="12"/>
      <c r="VUF23" s="12"/>
      <c r="VUG23" s="12"/>
      <c r="VUH23" s="12"/>
      <c r="VUI23" s="12"/>
      <c r="VUJ23" s="12"/>
      <c r="VUK23" s="12"/>
      <c r="VUL23" s="12"/>
      <c r="VUM23" s="12"/>
      <c r="VUN23" s="12"/>
      <c r="VUO23" s="12"/>
      <c r="VUP23" s="12"/>
      <c r="VUQ23" s="12"/>
      <c r="VUR23" s="12"/>
      <c r="VUS23" s="12"/>
      <c r="VUT23" s="12"/>
      <c r="VUU23" s="12"/>
      <c r="VUV23" s="12"/>
      <c r="VUW23" s="12"/>
      <c r="VUX23" s="12"/>
      <c r="VUY23" s="12"/>
      <c r="VUZ23" s="12"/>
      <c r="VVA23" s="12"/>
      <c r="VVB23" s="12"/>
      <c r="VVC23" s="12"/>
      <c r="VVD23" s="12"/>
      <c r="VVE23" s="12"/>
      <c r="VVF23" s="12"/>
      <c r="VVG23" s="12"/>
      <c r="VVH23" s="12"/>
      <c r="VVI23" s="12"/>
      <c r="VVJ23" s="12"/>
      <c r="VVK23" s="12"/>
      <c r="VVL23" s="12"/>
      <c r="VVM23" s="12"/>
      <c r="VVN23" s="12"/>
      <c r="VVO23" s="12"/>
      <c r="VVP23" s="12"/>
      <c r="VVQ23" s="12"/>
      <c r="VVR23" s="12"/>
      <c r="VVS23" s="12"/>
      <c r="VVT23" s="12"/>
      <c r="VVU23" s="12"/>
      <c r="VVV23" s="12"/>
      <c r="VVW23" s="12"/>
      <c r="VVX23" s="12"/>
      <c r="VVY23" s="12"/>
      <c r="VVZ23" s="12"/>
      <c r="VWA23" s="12"/>
      <c r="VWB23" s="12"/>
      <c r="VWC23" s="12"/>
      <c r="VWD23" s="12"/>
      <c r="VWE23" s="12"/>
      <c r="VWF23" s="12"/>
      <c r="VWG23" s="12"/>
      <c r="VWH23" s="12"/>
      <c r="VWI23" s="12"/>
      <c r="VWJ23" s="12"/>
      <c r="VWK23" s="12"/>
      <c r="VWL23" s="12"/>
      <c r="VWM23" s="12"/>
      <c r="VWN23" s="12"/>
      <c r="VWO23" s="12"/>
      <c r="VWP23" s="12"/>
      <c r="VWQ23" s="12"/>
      <c r="VWR23" s="12"/>
      <c r="VWS23" s="12"/>
      <c r="VWT23" s="12"/>
      <c r="VWU23" s="12"/>
      <c r="VWV23" s="12"/>
      <c r="VWW23" s="12"/>
      <c r="VWX23" s="12"/>
      <c r="VWY23" s="12"/>
      <c r="VWZ23" s="12"/>
      <c r="VXA23" s="12"/>
      <c r="VXB23" s="12"/>
      <c r="VXC23" s="12"/>
      <c r="VXD23" s="12"/>
      <c r="VXE23" s="12"/>
      <c r="VXF23" s="12"/>
      <c r="VXG23" s="12"/>
      <c r="VXH23" s="12"/>
      <c r="VXI23" s="12"/>
      <c r="VXJ23" s="12"/>
      <c r="VXK23" s="12"/>
      <c r="VXL23" s="12"/>
      <c r="VXM23" s="12"/>
      <c r="VXN23" s="12"/>
      <c r="VXO23" s="12"/>
      <c r="VXP23" s="12"/>
      <c r="VXQ23" s="12"/>
      <c r="VXR23" s="12"/>
      <c r="VXS23" s="12"/>
      <c r="VXT23" s="12"/>
      <c r="VXU23" s="12"/>
      <c r="VXV23" s="12"/>
      <c r="VXW23" s="12"/>
      <c r="VXX23" s="12"/>
      <c r="VXY23" s="12"/>
      <c r="VXZ23" s="12"/>
      <c r="VYA23" s="12"/>
      <c r="VYB23" s="12"/>
      <c r="VYC23" s="12"/>
      <c r="VYD23" s="12"/>
      <c r="VYE23" s="12"/>
      <c r="VYF23" s="12"/>
      <c r="VYG23" s="12"/>
      <c r="VYH23" s="12"/>
      <c r="VYI23" s="12"/>
      <c r="VYJ23" s="12"/>
      <c r="VYK23" s="12"/>
      <c r="VYL23" s="12"/>
      <c r="VYM23" s="12"/>
      <c r="VYN23" s="12"/>
      <c r="VYO23" s="12"/>
      <c r="VYP23" s="12"/>
      <c r="VYQ23" s="12"/>
      <c r="VYR23" s="12"/>
      <c r="VYS23" s="12"/>
      <c r="VYT23" s="12"/>
      <c r="VYU23" s="12"/>
      <c r="VYV23" s="12"/>
      <c r="VYW23" s="12"/>
      <c r="VYX23" s="12"/>
      <c r="VYY23" s="12"/>
      <c r="VYZ23" s="12"/>
      <c r="VZA23" s="12"/>
      <c r="VZB23" s="12"/>
      <c r="VZC23" s="12"/>
      <c r="VZD23" s="12"/>
      <c r="VZE23" s="12"/>
      <c r="VZF23" s="12"/>
      <c r="VZG23" s="12"/>
      <c r="VZH23" s="12"/>
      <c r="VZI23" s="12"/>
      <c r="VZJ23" s="12"/>
      <c r="VZK23" s="12"/>
      <c r="VZL23" s="12"/>
      <c r="VZM23" s="12"/>
      <c r="VZN23" s="12"/>
      <c r="VZO23" s="12"/>
      <c r="VZP23" s="12"/>
      <c r="VZQ23" s="12"/>
      <c r="VZR23" s="12"/>
      <c r="VZS23" s="12"/>
      <c r="VZT23" s="12"/>
      <c r="VZU23" s="12"/>
      <c r="VZV23" s="12"/>
      <c r="VZW23" s="12"/>
      <c r="VZX23" s="12"/>
      <c r="VZY23" s="12"/>
      <c r="VZZ23" s="12"/>
      <c r="WAA23" s="12"/>
      <c r="WAB23" s="12"/>
      <c r="WAC23" s="12"/>
      <c r="WAD23" s="12"/>
      <c r="WAE23" s="12"/>
      <c r="WAF23" s="12"/>
      <c r="WAG23" s="12"/>
      <c r="WAH23" s="12"/>
      <c r="WAI23" s="12"/>
      <c r="WAJ23" s="12"/>
      <c r="WAK23" s="12"/>
      <c r="WAL23" s="12"/>
      <c r="WAM23" s="12"/>
      <c r="WAN23" s="12"/>
      <c r="WAO23" s="12"/>
      <c r="WAP23" s="12"/>
      <c r="WAQ23" s="12"/>
      <c r="WAR23" s="12"/>
      <c r="WAS23" s="12"/>
      <c r="WAT23" s="12"/>
      <c r="WAU23" s="12"/>
      <c r="WAV23" s="12"/>
      <c r="WAW23" s="12"/>
      <c r="WAX23" s="12"/>
      <c r="WAY23" s="12"/>
      <c r="WAZ23" s="12"/>
      <c r="WBA23" s="12"/>
      <c r="WBB23" s="12"/>
      <c r="WBC23" s="12"/>
      <c r="WBD23" s="12"/>
      <c r="WBE23" s="12"/>
      <c r="WBF23" s="12"/>
      <c r="WBG23" s="12"/>
      <c r="WBH23" s="12"/>
      <c r="WBI23" s="12"/>
      <c r="WBJ23" s="12"/>
      <c r="WBK23" s="12"/>
      <c r="WBL23" s="12"/>
      <c r="WBM23" s="12"/>
      <c r="WBN23" s="12"/>
      <c r="WBO23" s="12"/>
      <c r="WBP23" s="12"/>
      <c r="WBQ23" s="12"/>
      <c r="WBR23" s="12"/>
      <c r="WBS23" s="12"/>
      <c r="WBT23" s="12"/>
      <c r="WBU23" s="12"/>
      <c r="WBV23" s="12"/>
      <c r="WBW23" s="12"/>
      <c r="WBX23" s="12"/>
      <c r="WBY23" s="12"/>
      <c r="WBZ23" s="12"/>
      <c r="WCA23" s="12"/>
      <c r="WCB23" s="12"/>
      <c r="WCC23" s="12"/>
      <c r="WCD23" s="12"/>
      <c r="WCE23" s="12"/>
      <c r="WCF23" s="12"/>
      <c r="WCG23" s="12"/>
      <c r="WCH23" s="12"/>
      <c r="WCI23" s="12"/>
      <c r="WCJ23" s="12"/>
      <c r="WCK23" s="12"/>
      <c r="WCL23" s="12"/>
      <c r="WCM23" s="12"/>
      <c r="WCN23" s="12"/>
      <c r="WCO23" s="12"/>
      <c r="WCP23" s="12"/>
      <c r="WCQ23" s="12"/>
      <c r="WCR23" s="12"/>
      <c r="WCS23" s="12"/>
      <c r="WCT23" s="12"/>
      <c r="WCU23" s="12"/>
      <c r="WCV23" s="12"/>
      <c r="WCW23" s="12"/>
      <c r="WCX23" s="12"/>
      <c r="WCY23" s="12"/>
      <c r="WCZ23" s="12"/>
      <c r="WDA23" s="12"/>
      <c r="WDB23" s="12"/>
      <c r="WDC23" s="12"/>
      <c r="WDD23" s="12"/>
      <c r="WDE23" s="12"/>
      <c r="WDF23" s="12"/>
      <c r="WDG23" s="12"/>
      <c r="WDH23" s="12"/>
      <c r="WDI23" s="12"/>
      <c r="WDJ23" s="12"/>
      <c r="WDK23" s="12"/>
      <c r="WDL23" s="12"/>
      <c r="WDM23" s="12"/>
      <c r="WDN23" s="12"/>
      <c r="WDO23" s="12"/>
      <c r="WDP23" s="12"/>
      <c r="WDQ23" s="12"/>
      <c r="WDR23" s="12"/>
      <c r="WDS23" s="12"/>
      <c r="WDT23" s="12"/>
      <c r="WDU23" s="12"/>
      <c r="WDV23" s="12"/>
      <c r="WDW23" s="12"/>
      <c r="WDX23" s="12"/>
      <c r="WDY23" s="12"/>
      <c r="WDZ23" s="12"/>
      <c r="WEA23" s="12"/>
      <c r="WEB23" s="12"/>
      <c r="WEC23" s="12"/>
      <c r="WED23" s="12"/>
      <c r="WEE23" s="12"/>
      <c r="WEF23" s="12"/>
      <c r="WEG23" s="12"/>
      <c r="WEH23" s="12"/>
      <c r="WEI23" s="12"/>
      <c r="WEJ23" s="12"/>
      <c r="WEK23" s="12"/>
      <c r="WEL23" s="12"/>
      <c r="WEM23" s="12"/>
      <c r="WEN23" s="12"/>
      <c r="WEO23" s="12"/>
      <c r="WEP23" s="12"/>
      <c r="WEQ23" s="12"/>
      <c r="WER23" s="12"/>
      <c r="WES23" s="12"/>
      <c r="WET23" s="12"/>
      <c r="WEU23" s="12"/>
      <c r="WEV23" s="12"/>
      <c r="WEW23" s="12"/>
      <c r="WEX23" s="12"/>
      <c r="WEY23" s="12"/>
      <c r="WEZ23" s="12"/>
      <c r="WFA23" s="12"/>
      <c r="WFB23" s="12"/>
      <c r="WFC23" s="12"/>
      <c r="WFD23" s="12"/>
      <c r="WFE23" s="12"/>
      <c r="WFF23" s="12"/>
      <c r="WFG23" s="12"/>
      <c r="WFH23" s="12"/>
      <c r="WFI23" s="12"/>
      <c r="WFJ23" s="12"/>
      <c r="WFK23" s="12"/>
      <c r="WFL23" s="12"/>
      <c r="WFM23" s="12"/>
      <c r="WFN23" s="12"/>
      <c r="WFO23" s="12"/>
      <c r="WFP23" s="12"/>
      <c r="WFQ23" s="12"/>
      <c r="WFR23" s="12"/>
      <c r="WFS23" s="12"/>
      <c r="WFT23" s="12"/>
      <c r="WFU23" s="12"/>
      <c r="WFV23" s="12"/>
      <c r="WFW23" s="12"/>
      <c r="WFX23" s="12"/>
      <c r="WFY23" s="12"/>
      <c r="WFZ23" s="12"/>
      <c r="WGA23" s="12"/>
      <c r="WGB23" s="12"/>
      <c r="WGC23" s="12"/>
      <c r="WGD23" s="12"/>
      <c r="WGE23" s="12"/>
      <c r="WGF23" s="12"/>
      <c r="WGG23" s="12"/>
      <c r="WGH23" s="12"/>
      <c r="WGI23" s="12"/>
      <c r="WGJ23" s="12"/>
      <c r="WGK23" s="12"/>
      <c r="WGL23" s="12"/>
      <c r="WGM23" s="12"/>
      <c r="WGN23" s="12"/>
      <c r="WGO23" s="12"/>
      <c r="WGP23" s="12"/>
      <c r="WGQ23" s="12"/>
      <c r="WGR23" s="12"/>
      <c r="WGS23" s="12"/>
      <c r="WGT23" s="12"/>
      <c r="WGU23" s="12"/>
      <c r="WGV23" s="12"/>
      <c r="WGW23" s="12"/>
      <c r="WGX23" s="12"/>
      <c r="WGY23" s="12"/>
      <c r="WGZ23" s="12"/>
      <c r="WHA23" s="12"/>
      <c r="WHB23" s="12"/>
      <c r="WHC23" s="12"/>
      <c r="WHD23" s="12"/>
      <c r="WHE23" s="12"/>
      <c r="WHF23" s="12"/>
      <c r="WHG23" s="12"/>
      <c r="WHH23" s="12"/>
      <c r="WHI23" s="12"/>
      <c r="WHJ23" s="12"/>
      <c r="WHK23" s="12"/>
      <c r="WHL23" s="12"/>
      <c r="WHM23" s="12"/>
      <c r="WHN23" s="12"/>
      <c r="WHO23" s="12"/>
      <c r="WHP23" s="12"/>
      <c r="WHQ23" s="12"/>
      <c r="WHR23" s="12"/>
      <c r="WHS23" s="12"/>
      <c r="WHT23" s="12"/>
      <c r="WHU23" s="12"/>
      <c r="WHV23" s="12"/>
      <c r="WHW23" s="12"/>
      <c r="WHX23" s="12"/>
      <c r="WHY23" s="12"/>
      <c r="WHZ23" s="12"/>
      <c r="WIA23" s="12"/>
      <c r="WIB23" s="12"/>
      <c r="WIC23" s="12"/>
      <c r="WID23" s="12"/>
      <c r="WIE23" s="12"/>
      <c r="WIF23" s="12"/>
      <c r="WIG23" s="12"/>
      <c r="WIH23" s="12"/>
      <c r="WII23" s="12"/>
      <c r="WIJ23" s="12"/>
      <c r="WIK23" s="12"/>
      <c r="WIL23" s="12"/>
      <c r="WIM23" s="12"/>
      <c r="WIN23" s="12"/>
      <c r="WIO23" s="12"/>
      <c r="WIP23" s="12"/>
      <c r="WIQ23" s="12"/>
      <c r="WIR23" s="12"/>
      <c r="WIS23" s="12"/>
      <c r="WIT23" s="12"/>
      <c r="WIU23" s="12"/>
      <c r="WIV23" s="12"/>
      <c r="WIW23" s="12"/>
      <c r="WIX23" s="12"/>
      <c r="WIY23" s="12"/>
      <c r="WIZ23" s="12"/>
      <c r="WJA23" s="12"/>
      <c r="WJB23" s="12"/>
      <c r="WJC23" s="12"/>
      <c r="WJD23" s="12"/>
      <c r="WJE23" s="12"/>
      <c r="WJF23" s="12"/>
      <c r="WJG23" s="12"/>
      <c r="WJH23" s="12"/>
      <c r="WJI23" s="12"/>
      <c r="WJJ23" s="12"/>
      <c r="WJK23" s="12"/>
      <c r="WJL23" s="12"/>
      <c r="WJM23" s="12"/>
      <c r="WJN23" s="12"/>
      <c r="WJO23" s="12"/>
      <c r="WJP23" s="12"/>
      <c r="WJQ23" s="12"/>
      <c r="WJR23" s="12"/>
      <c r="WJS23" s="12"/>
      <c r="WJT23" s="12"/>
      <c r="WJU23" s="12"/>
      <c r="WJV23" s="12"/>
      <c r="WJW23" s="12"/>
      <c r="WJX23" s="12"/>
      <c r="WJY23" s="12"/>
      <c r="WJZ23" s="12"/>
      <c r="WKA23" s="12"/>
      <c r="WKB23" s="12"/>
      <c r="WKC23" s="12"/>
      <c r="WKD23" s="12"/>
      <c r="WKE23" s="12"/>
      <c r="WKF23" s="12"/>
      <c r="WKG23" s="12"/>
      <c r="WKH23" s="12"/>
      <c r="WKI23" s="12"/>
      <c r="WKJ23" s="12"/>
      <c r="WKK23" s="12"/>
      <c r="WKL23" s="12"/>
      <c r="WKM23" s="12"/>
      <c r="WKN23" s="12"/>
      <c r="WKO23" s="12"/>
      <c r="WKP23" s="12"/>
      <c r="WKQ23" s="12"/>
      <c r="WKR23" s="12"/>
      <c r="WKS23" s="12"/>
      <c r="WKT23" s="12"/>
      <c r="WKU23" s="12"/>
      <c r="WKV23" s="12"/>
      <c r="WKW23" s="12"/>
      <c r="WKX23" s="12"/>
      <c r="WKY23" s="12"/>
      <c r="WKZ23" s="12"/>
      <c r="WLA23" s="12"/>
      <c r="WLB23" s="12"/>
      <c r="WLC23" s="12"/>
      <c r="WLD23" s="12"/>
      <c r="WLE23" s="12"/>
      <c r="WLF23" s="12"/>
      <c r="WLG23" s="12"/>
      <c r="WLH23" s="12"/>
      <c r="WLI23" s="12"/>
      <c r="WLJ23" s="12"/>
      <c r="WLK23" s="12"/>
      <c r="WLL23" s="12"/>
      <c r="WLM23" s="12"/>
      <c r="WLN23" s="12"/>
      <c r="WLO23" s="12"/>
      <c r="WLP23" s="12"/>
      <c r="WLQ23" s="12"/>
      <c r="WLR23" s="12"/>
      <c r="WLS23" s="12"/>
      <c r="WLT23" s="12"/>
      <c r="WLU23" s="12"/>
      <c r="WLV23" s="12"/>
      <c r="WLW23" s="12"/>
      <c r="WLX23" s="12"/>
      <c r="WLY23" s="12"/>
      <c r="WLZ23" s="12"/>
      <c r="WMA23" s="12"/>
      <c r="WMB23" s="12"/>
      <c r="WMC23" s="12"/>
      <c r="WMD23" s="12"/>
      <c r="WME23" s="12"/>
      <c r="WMF23" s="12"/>
      <c r="WMG23" s="12"/>
      <c r="WMH23" s="12"/>
      <c r="WMI23" s="12"/>
      <c r="WMJ23" s="12"/>
      <c r="WMK23" s="12"/>
      <c r="WML23" s="12"/>
      <c r="WMM23" s="12"/>
      <c r="WMN23" s="12"/>
      <c r="WMO23" s="12"/>
      <c r="WMP23" s="12"/>
      <c r="WMQ23" s="12"/>
      <c r="WMR23" s="12"/>
      <c r="WMS23" s="12"/>
      <c r="WMT23" s="12"/>
      <c r="WMU23" s="12"/>
      <c r="WMV23" s="12"/>
      <c r="WMW23" s="12"/>
      <c r="WMX23" s="12"/>
      <c r="WMY23" s="12"/>
      <c r="WMZ23" s="12"/>
      <c r="WNA23" s="12"/>
      <c r="WNB23" s="12"/>
      <c r="WNC23" s="12"/>
      <c r="WND23" s="12"/>
      <c r="WNE23" s="12"/>
      <c r="WNF23" s="12"/>
      <c r="WNG23" s="12"/>
      <c r="WNH23" s="12"/>
      <c r="WNI23" s="12"/>
      <c r="WNJ23" s="12"/>
      <c r="WNK23" s="12"/>
      <c r="WNL23" s="12"/>
      <c r="WNM23" s="12"/>
      <c r="WNN23" s="12"/>
      <c r="WNO23" s="12"/>
      <c r="WNP23" s="12"/>
      <c r="WNQ23" s="12"/>
      <c r="WNR23" s="12"/>
      <c r="WNS23" s="12"/>
      <c r="WNT23" s="12"/>
      <c r="WNU23" s="12"/>
      <c r="WNV23" s="12"/>
      <c r="WNW23" s="12"/>
      <c r="WNX23" s="12"/>
      <c r="WNY23" s="12"/>
      <c r="WNZ23" s="12"/>
      <c r="WOA23" s="12"/>
      <c r="WOB23" s="12"/>
      <c r="WOC23" s="12"/>
      <c r="WOD23" s="12"/>
      <c r="WOE23" s="12"/>
      <c r="WOF23" s="12"/>
      <c r="WOG23" s="12"/>
      <c r="WOH23" s="12"/>
      <c r="WOI23" s="12"/>
      <c r="WOJ23" s="12"/>
      <c r="WOK23" s="12"/>
      <c r="WOL23" s="12"/>
      <c r="WOM23" s="12"/>
      <c r="WON23" s="12"/>
      <c r="WOO23" s="12"/>
      <c r="WOP23" s="12"/>
      <c r="WOQ23" s="12"/>
      <c r="WOR23" s="12"/>
      <c r="WOS23" s="12"/>
      <c r="WOT23" s="12"/>
      <c r="WOU23" s="12"/>
      <c r="WOV23" s="12"/>
      <c r="WOW23" s="12"/>
      <c r="WOX23" s="12"/>
      <c r="WOY23" s="12"/>
      <c r="WOZ23" s="12"/>
      <c r="WPA23" s="12"/>
      <c r="WPB23" s="12"/>
      <c r="WPC23" s="12"/>
      <c r="WPD23" s="12"/>
      <c r="WPE23" s="12"/>
      <c r="WPF23" s="12"/>
      <c r="WPG23" s="12"/>
      <c r="WPH23" s="12"/>
      <c r="WPI23" s="12"/>
      <c r="WPJ23" s="12"/>
      <c r="WPK23" s="12"/>
      <c r="WPL23" s="12"/>
      <c r="WPM23" s="12"/>
      <c r="WPN23" s="12"/>
      <c r="WPO23" s="12"/>
      <c r="WPP23" s="12"/>
      <c r="WPQ23" s="12"/>
      <c r="WPR23" s="12"/>
      <c r="WPS23" s="12"/>
      <c r="WPT23" s="12"/>
      <c r="WPU23" s="12"/>
      <c r="WPV23" s="12"/>
      <c r="WPW23" s="12"/>
      <c r="WPX23" s="12"/>
      <c r="WPY23" s="12"/>
      <c r="WPZ23" s="12"/>
      <c r="WQA23" s="12"/>
      <c r="WQB23" s="12"/>
      <c r="WQC23" s="12"/>
      <c r="WQD23" s="12"/>
      <c r="WQE23" s="12"/>
      <c r="WQF23" s="12"/>
      <c r="WQG23" s="12"/>
      <c r="WQH23" s="12"/>
      <c r="WQI23" s="12"/>
      <c r="WQJ23" s="12"/>
      <c r="WQK23" s="12"/>
      <c r="WQL23" s="12"/>
      <c r="WQM23" s="12"/>
      <c r="WQN23" s="12"/>
      <c r="WQO23" s="12"/>
      <c r="WQP23" s="12"/>
      <c r="WQQ23" s="12"/>
      <c r="WQR23" s="12"/>
      <c r="WQS23" s="12"/>
      <c r="WQT23" s="12"/>
      <c r="WQU23" s="12"/>
      <c r="WQV23" s="12"/>
      <c r="WQW23" s="12"/>
      <c r="WQX23" s="12"/>
      <c r="WQY23" s="12"/>
      <c r="WQZ23" s="12"/>
      <c r="WRA23" s="12"/>
      <c r="WRB23" s="12"/>
      <c r="WRC23" s="12"/>
      <c r="WRD23" s="12"/>
      <c r="WRE23" s="12"/>
      <c r="WRF23" s="12"/>
      <c r="WRG23" s="12"/>
      <c r="WRH23" s="12"/>
      <c r="WRI23" s="12"/>
      <c r="WRJ23" s="12"/>
      <c r="WRK23" s="12"/>
      <c r="WRL23" s="12"/>
      <c r="WRM23" s="12"/>
      <c r="WRN23" s="12"/>
      <c r="WRO23" s="12"/>
      <c r="WRP23" s="12"/>
      <c r="WRQ23" s="12"/>
      <c r="WRR23" s="12"/>
      <c r="WRS23" s="12"/>
      <c r="WRT23" s="12"/>
      <c r="WRU23" s="12"/>
      <c r="WRV23" s="12"/>
      <c r="WRW23" s="12"/>
      <c r="WRX23" s="12"/>
      <c r="WRY23" s="12"/>
      <c r="WRZ23" s="12"/>
      <c r="WSA23" s="12"/>
      <c r="WSB23" s="12"/>
      <c r="WSC23" s="12"/>
      <c r="WSD23" s="12"/>
      <c r="WSE23" s="12"/>
      <c r="WSF23" s="12"/>
      <c r="WSG23" s="12"/>
      <c r="WSH23" s="12"/>
      <c r="WSI23" s="12"/>
      <c r="WSJ23" s="12"/>
      <c r="WSK23" s="12"/>
      <c r="WSL23" s="12"/>
      <c r="WSM23" s="12"/>
      <c r="WSN23" s="12"/>
      <c r="WSO23" s="12"/>
      <c r="WSP23" s="12"/>
      <c r="WSQ23" s="12"/>
      <c r="WSR23" s="12"/>
      <c r="WSS23" s="12"/>
      <c r="WST23" s="12"/>
      <c r="WSU23" s="12"/>
      <c r="WSV23" s="12"/>
      <c r="WSW23" s="12"/>
      <c r="WSX23" s="12"/>
      <c r="WSY23" s="12"/>
      <c r="WSZ23" s="12"/>
      <c r="WTA23" s="12"/>
      <c r="WTB23" s="12"/>
      <c r="WTC23" s="12"/>
      <c r="WTD23" s="12"/>
      <c r="WTE23" s="12"/>
      <c r="WTF23" s="12"/>
      <c r="WTG23" s="12"/>
      <c r="WTH23" s="12"/>
      <c r="WTI23" s="12"/>
      <c r="WTJ23" s="12"/>
      <c r="WTK23" s="12"/>
      <c r="WTL23" s="12"/>
      <c r="WTM23" s="12"/>
      <c r="WTN23" s="12"/>
      <c r="WTO23" s="12"/>
      <c r="WTP23" s="12"/>
      <c r="WTQ23" s="12"/>
      <c r="WTR23" s="12"/>
      <c r="WTS23" s="12"/>
      <c r="WTT23" s="12"/>
      <c r="WTU23" s="12"/>
      <c r="WTV23" s="12"/>
      <c r="WTW23" s="12"/>
      <c r="WTX23" s="12"/>
      <c r="WTY23" s="12"/>
      <c r="WTZ23" s="12"/>
      <c r="WUA23" s="12"/>
      <c r="WUB23" s="12"/>
      <c r="WUC23" s="12"/>
      <c r="WUD23" s="12"/>
      <c r="WUE23" s="12"/>
      <c r="WUF23" s="12"/>
      <c r="WUG23" s="12"/>
      <c r="WUH23" s="12"/>
      <c r="WUI23" s="12"/>
      <c r="WUJ23" s="12"/>
      <c r="WUK23" s="12"/>
      <c r="WUL23" s="12"/>
      <c r="WUM23" s="12"/>
      <c r="WUN23" s="12"/>
      <c r="WUO23" s="12"/>
      <c r="WUP23" s="12"/>
      <c r="WUQ23" s="12"/>
      <c r="WUR23" s="12"/>
      <c r="WUS23" s="12"/>
      <c r="WUT23" s="12"/>
      <c r="WUU23" s="12"/>
      <c r="WUV23" s="12"/>
      <c r="WUW23" s="12"/>
      <c r="WUX23" s="12"/>
      <c r="WUY23" s="12"/>
      <c r="WUZ23" s="12"/>
      <c r="WVA23" s="12"/>
      <c r="WVB23" s="12"/>
      <c r="WVC23" s="12"/>
      <c r="WVD23" s="12"/>
      <c r="WVE23" s="12"/>
      <c r="WVF23" s="12"/>
      <c r="WVG23" s="12"/>
      <c r="WVH23" s="12"/>
      <c r="WVI23" s="12"/>
      <c r="WVJ23" s="12"/>
      <c r="WVK23" s="12"/>
      <c r="WVL23" s="12"/>
      <c r="WVM23" s="12"/>
      <c r="WVN23" s="12"/>
      <c r="WVO23" s="12"/>
      <c r="WVP23" s="12"/>
      <c r="WVQ23" s="12"/>
      <c r="WVR23" s="12"/>
      <c r="WVS23" s="12"/>
      <c r="WVT23" s="12"/>
      <c r="WVU23" s="12"/>
      <c r="WVV23" s="12"/>
      <c r="WVW23" s="12"/>
      <c r="WVX23" s="12"/>
      <c r="WVY23" s="12"/>
      <c r="WVZ23" s="12"/>
      <c r="WWA23" s="12"/>
      <c r="WWB23" s="12"/>
      <c r="WWC23" s="12"/>
      <c r="WWD23" s="12"/>
      <c r="WWE23" s="12"/>
      <c r="WWF23" s="12"/>
      <c r="WWG23" s="12"/>
      <c r="WWH23" s="12"/>
      <c r="WWI23" s="12"/>
      <c r="WWJ23" s="12"/>
      <c r="WWK23" s="12"/>
      <c r="WWL23" s="12"/>
      <c r="WWM23" s="12"/>
      <c r="WWN23" s="12"/>
      <c r="WWO23" s="12"/>
      <c r="WWP23" s="12"/>
      <c r="WWQ23" s="12"/>
      <c r="WWR23" s="12"/>
      <c r="WWS23" s="12"/>
      <c r="WWT23" s="12"/>
      <c r="WWU23" s="12"/>
      <c r="WWV23" s="12"/>
      <c r="WWW23" s="12"/>
      <c r="WWX23" s="12"/>
      <c r="WWY23" s="12"/>
      <c r="WWZ23" s="12"/>
      <c r="WXA23" s="12"/>
      <c r="WXB23" s="12"/>
      <c r="WXC23" s="12"/>
      <c r="WXD23" s="12"/>
      <c r="WXE23" s="12"/>
      <c r="WXF23" s="12"/>
      <c r="WXG23" s="12"/>
      <c r="WXH23" s="12"/>
      <c r="WXI23" s="12"/>
      <c r="WXJ23" s="12"/>
      <c r="WXK23" s="12"/>
      <c r="WXL23" s="12"/>
      <c r="WXM23" s="12"/>
      <c r="WXN23" s="12"/>
      <c r="WXO23" s="12"/>
      <c r="WXP23" s="12"/>
      <c r="WXQ23" s="12"/>
      <c r="WXR23" s="12"/>
      <c r="WXS23" s="12"/>
      <c r="WXT23" s="12"/>
      <c r="WXU23" s="12"/>
      <c r="WXV23" s="12"/>
      <c r="WXW23" s="12"/>
      <c r="WXX23" s="12"/>
      <c r="WXY23" s="12"/>
      <c r="WXZ23" s="12"/>
      <c r="WYA23" s="12"/>
      <c r="WYB23" s="12"/>
      <c r="WYC23" s="12"/>
      <c r="WYD23" s="12"/>
      <c r="WYE23" s="12"/>
      <c r="WYF23" s="12"/>
      <c r="WYG23" s="12"/>
      <c r="WYH23" s="12"/>
      <c r="WYI23" s="12"/>
      <c r="WYJ23" s="12"/>
      <c r="WYK23" s="12"/>
      <c r="WYL23" s="12"/>
      <c r="WYM23" s="12"/>
      <c r="WYN23" s="12"/>
      <c r="WYO23" s="12"/>
      <c r="WYP23" s="12"/>
      <c r="WYQ23" s="12"/>
      <c r="WYR23" s="12"/>
      <c r="WYS23" s="12"/>
      <c r="WYT23" s="12"/>
      <c r="WYU23" s="12"/>
      <c r="WYV23" s="12"/>
      <c r="WYW23" s="12"/>
      <c r="WYX23" s="12"/>
      <c r="WYY23" s="12"/>
      <c r="WYZ23" s="12"/>
      <c r="WZA23" s="12"/>
      <c r="WZB23" s="12"/>
      <c r="WZC23" s="12"/>
      <c r="WZD23" s="12"/>
      <c r="WZE23" s="12"/>
      <c r="WZF23" s="12"/>
      <c r="WZG23" s="12"/>
      <c r="WZH23" s="12"/>
      <c r="WZI23" s="12"/>
      <c r="WZJ23" s="12"/>
      <c r="WZK23" s="12"/>
      <c r="WZL23" s="12"/>
      <c r="WZM23" s="12"/>
      <c r="WZN23" s="12"/>
      <c r="WZO23" s="12"/>
      <c r="WZP23" s="12"/>
      <c r="WZQ23" s="12"/>
      <c r="WZR23" s="12"/>
      <c r="WZS23" s="12"/>
      <c r="WZT23" s="12"/>
      <c r="WZU23" s="12"/>
      <c r="WZV23" s="12"/>
      <c r="WZW23" s="12"/>
      <c r="WZX23" s="12"/>
      <c r="WZY23" s="12"/>
      <c r="WZZ23" s="12"/>
      <c r="XAA23" s="12"/>
      <c r="XAB23" s="12"/>
      <c r="XAC23" s="12"/>
      <c r="XAD23" s="12"/>
      <c r="XAE23" s="12"/>
      <c r="XAF23" s="12"/>
      <c r="XAG23" s="12"/>
      <c r="XAH23" s="12"/>
      <c r="XAI23" s="12"/>
      <c r="XAJ23" s="12"/>
      <c r="XAK23" s="12"/>
      <c r="XAL23" s="12"/>
      <c r="XAM23" s="12"/>
      <c r="XAN23" s="12"/>
      <c r="XAO23" s="12"/>
      <c r="XAP23" s="12"/>
      <c r="XAQ23" s="12"/>
      <c r="XAR23" s="12"/>
      <c r="XAS23" s="12"/>
      <c r="XAT23" s="12"/>
      <c r="XAU23" s="12"/>
      <c r="XAV23" s="12"/>
      <c r="XAW23" s="12"/>
      <c r="XAX23" s="12"/>
      <c r="XAY23" s="12"/>
      <c r="XAZ23" s="12"/>
      <c r="XBA23" s="12"/>
      <c r="XBB23" s="12"/>
      <c r="XBC23" s="12"/>
      <c r="XBD23" s="12"/>
      <c r="XBE23" s="12"/>
      <c r="XBF23" s="12"/>
      <c r="XBG23" s="12"/>
      <c r="XBH23" s="12"/>
      <c r="XBI23" s="12"/>
      <c r="XBJ23" s="12"/>
      <c r="XBK23" s="12"/>
      <c r="XBL23" s="12"/>
      <c r="XBM23" s="12"/>
      <c r="XBN23" s="12"/>
      <c r="XBO23" s="12"/>
      <c r="XBP23" s="12"/>
      <c r="XBQ23" s="12"/>
      <c r="XBR23" s="12"/>
      <c r="XBS23" s="12"/>
      <c r="XBT23" s="12"/>
      <c r="XBU23" s="12"/>
      <c r="XBV23" s="12"/>
      <c r="XBW23" s="12"/>
      <c r="XBX23" s="12"/>
      <c r="XBY23" s="12"/>
      <c r="XBZ23" s="12"/>
      <c r="XCA23" s="12"/>
      <c r="XCB23" s="12"/>
      <c r="XCC23" s="12"/>
      <c r="XCD23" s="12"/>
      <c r="XCE23" s="12"/>
      <c r="XCF23" s="12"/>
      <c r="XCG23" s="12"/>
      <c r="XCH23" s="12"/>
      <c r="XCI23" s="12"/>
      <c r="XCJ23" s="12"/>
      <c r="XCK23" s="12"/>
      <c r="XCL23" s="12"/>
      <c r="XCM23" s="12"/>
      <c r="XCN23" s="12"/>
      <c r="XCO23" s="12"/>
      <c r="XCP23" s="12"/>
      <c r="XCQ23" s="12"/>
      <c r="XCR23" s="12"/>
      <c r="XCS23" s="12"/>
      <c r="XCT23" s="12"/>
      <c r="XCU23" s="12"/>
      <c r="XCV23" s="12"/>
      <c r="XCW23" s="12"/>
      <c r="XCX23" s="12"/>
      <c r="XCY23" s="12"/>
      <c r="XCZ23" s="12"/>
      <c r="XDA23" s="12"/>
      <c r="XDB23" s="12"/>
      <c r="XDC23" s="12"/>
      <c r="XDD23" s="12"/>
      <c r="XDE23" s="12"/>
      <c r="XDF23" s="12"/>
      <c r="XDG23" s="12"/>
      <c r="XDH23" s="12"/>
      <c r="XDI23" s="12"/>
      <c r="XDJ23" s="12"/>
      <c r="XDK23" s="12"/>
      <c r="XDL23" s="12"/>
      <c r="XDM23" s="12"/>
      <c r="XDN23" s="12"/>
      <c r="XDO23" s="12"/>
      <c r="XDP23" s="12"/>
      <c r="XDQ23" s="12"/>
      <c r="XDR23" s="12"/>
      <c r="XDS23" s="12"/>
      <c r="XDT23" s="12"/>
      <c r="XDU23" s="12"/>
      <c r="XDV23" s="12"/>
      <c r="XDW23" s="12"/>
      <c r="XDX23" s="12"/>
      <c r="XDY23" s="12"/>
      <c r="XDZ23" s="12"/>
      <c r="XEA23" s="12"/>
      <c r="XEB23" s="12"/>
      <c r="XEC23" s="12"/>
      <c r="XED23" s="12"/>
      <c r="XEE23" s="12"/>
      <c r="XEF23" s="12"/>
      <c r="XEG23" s="12"/>
      <c r="XEH23" s="12"/>
      <c r="XEI23" s="12"/>
      <c r="XEJ23" s="12"/>
      <c r="XEK23" s="12"/>
      <c r="XEL23" s="12"/>
      <c r="XEM23" s="12"/>
      <c r="XEN23" s="12"/>
      <c r="XEO23" s="12"/>
      <c r="XEP23" s="12"/>
    </row>
    <row r="24" spans="1:16370" ht="20.100000000000001" customHeight="1">
      <c r="A24" s="3" t="s">
        <v>225</v>
      </c>
      <c r="B24" s="6" t="s">
        <v>227</v>
      </c>
      <c r="C24" s="6" t="s">
        <v>228</v>
      </c>
    </row>
    <row r="25" spans="1:16370" ht="20.100000000000001" customHeight="1">
      <c r="A25" s="3" t="s">
        <v>19</v>
      </c>
      <c r="B25" s="6" t="s">
        <v>7</v>
      </c>
      <c r="C25" s="6" t="s">
        <v>288</v>
      </c>
    </row>
    <row r="26" spans="1:16370" ht="20.100000000000001" customHeight="1">
      <c r="A26" s="3" t="s">
        <v>59</v>
      </c>
      <c r="B26" s="6" t="s">
        <v>217</v>
      </c>
      <c r="C26" s="6" t="s">
        <v>383</v>
      </c>
    </row>
    <row r="27" spans="1:16370" ht="20.100000000000001" customHeight="1">
      <c r="A27" s="3" t="s">
        <v>415</v>
      </c>
      <c r="B27" s="6" t="s">
        <v>217</v>
      </c>
      <c r="C27" s="6" t="s">
        <v>422</v>
      </c>
    </row>
    <row r="28" spans="1:16370" ht="20.100000000000001" customHeight="1">
      <c r="A28" s="3" t="s">
        <v>52</v>
      </c>
      <c r="B28" s="6" t="s">
        <v>217</v>
      </c>
      <c r="C28" s="6" t="s">
        <v>302</v>
      </c>
    </row>
    <row r="29" spans="1:16370" ht="20.100000000000001" customHeight="1">
      <c r="A29" s="3" t="s">
        <v>407</v>
      </c>
      <c r="B29" s="6" t="s">
        <v>217</v>
      </c>
      <c r="C29" s="6" t="s">
        <v>224</v>
      </c>
    </row>
    <row r="30" spans="1:16370" ht="20.100000000000001" customHeight="1">
      <c r="A30" s="3" t="s">
        <v>592</v>
      </c>
      <c r="B30" s="6" t="s">
        <v>593</v>
      </c>
      <c r="C30" s="6" t="s">
        <v>597</v>
      </c>
    </row>
    <row r="31" spans="1:16370" ht="20.100000000000001" customHeight="1">
      <c r="A31" s="3" t="s">
        <v>1152</v>
      </c>
      <c r="B31" s="6" t="s">
        <v>1150</v>
      </c>
      <c r="C31" s="6" t="s">
        <v>1153</v>
      </c>
    </row>
    <row r="32" spans="1:16370" ht="20.100000000000001" customHeight="1">
      <c r="A32" s="10" t="s">
        <v>199</v>
      </c>
      <c r="B32" s="6" t="s">
        <v>217</v>
      </c>
      <c r="C32" s="6" t="s">
        <v>378</v>
      </c>
    </row>
    <row r="33" spans="1:3" ht="20.100000000000001" customHeight="1">
      <c r="A33" s="3" t="s">
        <v>435</v>
      </c>
      <c r="B33" s="6" t="s">
        <v>8</v>
      </c>
      <c r="C33" s="6" t="s">
        <v>256</v>
      </c>
    </row>
    <row r="34" spans="1:3" ht="20.100000000000001" customHeight="1">
      <c r="A34" s="3" t="s">
        <v>1165</v>
      </c>
      <c r="B34" s="6" t="s">
        <v>1150</v>
      </c>
      <c r="C34" s="6" t="s">
        <v>1166</v>
      </c>
    </row>
    <row r="35" spans="1:3" ht="20.100000000000001" customHeight="1">
      <c r="A35" s="3" t="s">
        <v>417</v>
      </c>
      <c r="B35" s="6" t="s">
        <v>217</v>
      </c>
      <c r="C35" s="6" t="s">
        <v>420</v>
      </c>
    </row>
    <row r="36" spans="1:3" ht="20.100000000000001" customHeight="1">
      <c r="A36" s="3" t="s">
        <v>585</v>
      </c>
      <c r="B36" s="6" t="s">
        <v>227</v>
      </c>
      <c r="C36" s="6" t="s">
        <v>241</v>
      </c>
    </row>
    <row r="37" spans="1:3" ht="20.100000000000001" customHeight="1">
      <c r="A37" s="3" t="s">
        <v>14</v>
      </c>
      <c r="B37" s="6" t="s">
        <v>5</v>
      </c>
      <c r="C37" s="6" t="s">
        <v>271</v>
      </c>
    </row>
    <row r="38" spans="1:3" ht="20.100000000000001" customHeight="1">
      <c r="A38" s="3" t="s">
        <v>1176</v>
      </c>
      <c r="B38" s="6" t="s">
        <v>7</v>
      </c>
      <c r="C38" s="6" t="s">
        <v>251</v>
      </c>
    </row>
    <row r="39" spans="1:3" ht="20.100000000000001" customHeight="1">
      <c r="A39" s="3" t="s">
        <v>18</v>
      </c>
      <c r="B39" s="6" t="s">
        <v>6</v>
      </c>
      <c r="C39" s="6" t="s">
        <v>287</v>
      </c>
    </row>
    <row r="40" spans="1:3" ht="20.100000000000001" customHeight="1">
      <c r="A40" s="6" t="s">
        <v>1935</v>
      </c>
      <c r="B40" s="3" t="s">
        <v>442</v>
      </c>
      <c r="C40" s="6" t="s">
        <v>1939</v>
      </c>
    </row>
    <row r="41" spans="1:3" ht="20.100000000000001" customHeight="1">
      <c r="A41" s="3" t="s">
        <v>49</v>
      </c>
      <c r="B41" s="6" t="s">
        <v>6</v>
      </c>
      <c r="C41" s="6" t="s">
        <v>392</v>
      </c>
    </row>
    <row r="42" spans="1:3" ht="20.100000000000001" customHeight="1">
      <c r="A42" s="8" t="s">
        <v>193</v>
      </c>
      <c r="B42" s="6" t="s">
        <v>8</v>
      </c>
      <c r="C42" s="6" t="s">
        <v>284</v>
      </c>
    </row>
    <row r="43" spans="1:3" ht="20.100000000000001" customHeight="1">
      <c r="A43" s="3" t="s">
        <v>1949</v>
      </c>
      <c r="B43" s="3" t="s">
        <v>442</v>
      </c>
      <c r="C43" s="206" t="s">
        <v>1950</v>
      </c>
    </row>
    <row r="44" spans="1:3" ht="20.100000000000001" customHeight="1">
      <c r="A44" s="8" t="s">
        <v>196</v>
      </c>
      <c r="B44" s="6" t="s">
        <v>6</v>
      </c>
      <c r="C44" s="6" t="s">
        <v>339</v>
      </c>
    </row>
    <row r="45" spans="1:3" ht="20.100000000000001" customHeight="1">
      <c r="A45" s="3" t="s">
        <v>1189</v>
      </c>
      <c r="B45" s="6" t="s">
        <v>1181</v>
      </c>
      <c r="C45" s="6" t="s">
        <v>1184</v>
      </c>
    </row>
    <row r="46" spans="1:3" ht="20.100000000000001" customHeight="1">
      <c r="A46" s="3" t="s">
        <v>1917</v>
      </c>
      <c r="B46" s="3" t="s">
        <v>1918</v>
      </c>
      <c r="C46" s="3" t="s">
        <v>1921</v>
      </c>
    </row>
    <row r="47" spans="1:3" ht="20.100000000000001" customHeight="1">
      <c r="A47" s="3" t="s">
        <v>1981</v>
      </c>
      <c r="B47" s="3" t="s">
        <v>442</v>
      </c>
      <c r="C47" s="3" t="s">
        <v>1980</v>
      </c>
    </row>
    <row r="48" spans="1:3" ht="20.100000000000001" customHeight="1">
      <c r="A48" s="3" t="s">
        <v>20</v>
      </c>
      <c r="B48" s="3" t="s">
        <v>6</v>
      </c>
      <c r="C48" s="3" t="s">
        <v>289</v>
      </c>
    </row>
    <row r="49" spans="1:3" ht="20.100000000000001" customHeight="1">
      <c r="A49" s="3" t="s">
        <v>22</v>
      </c>
      <c r="B49" s="3" t="s">
        <v>1135</v>
      </c>
      <c r="C49" s="3" t="s">
        <v>1136</v>
      </c>
    </row>
    <row r="50" spans="1:3" ht="20.100000000000001" customHeight="1">
      <c r="A50" s="3" t="s">
        <v>82</v>
      </c>
      <c r="B50" s="3" t="s">
        <v>6</v>
      </c>
      <c r="C50" s="3" t="s">
        <v>349</v>
      </c>
    </row>
    <row r="51" spans="1:3" ht="20.100000000000001" customHeight="1">
      <c r="A51" s="7" t="s">
        <v>186</v>
      </c>
      <c r="B51" s="6" t="s">
        <v>6</v>
      </c>
      <c r="C51" s="6" t="s">
        <v>381</v>
      </c>
    </row>
    <row r="52" spans="1:3" ht="20.100000000000001" customHeight="1">
      <c r="A52" s="3" t="s">
        <v>117</v>
      </c>
      <c r="B52" s="6" t="s">
        <v>6</v>
      </c>
      <c r="C52" s="6" t="s">
        <v>273</v>
      </c>
    </row>
    <row r="53" spans="1:3" ht="20.100000000000001" customHeight="1">
      <c r="A53" s="3" t="s">
        <v>21</v>
      </c>
      <c r="B53" s="3" t="s">
        <v>6</v>
      </c>
      <c r="C53" s="3" t="s">
        <v>290</v>
      </c>
    </row>
    <row r="54" spans="1:3" ht="20.100000000000001" customHeight="1">
      <c r="A54" s="9" t="s">
        <v>74</v>
      </c>
      <c r="B54" s="3" t="s">
        <v>6</v>
      </c>
      <c r="C54" s="3" t="s">
        <v>317</v>
      </c>
    </row>
    <row r="55" spans="1:3" ht="20.100000000000001" customHeight="1">
      <c r="A55" s="3" t="s">
        <v>183</v>
      </c>
      <c r="B55" s="3" t="s">
        <v>6</v>
      </c>
      <c r="C55" s="3" t="s">
        <v>363</v>
      </c>
    </row>
    <row r="56" spans="1:3" ht="20.100000000000001" customHeight="1">
      <c r="A56" s="11" t="s">
        <v>119</v>
      </c>
      <c r="B56" s="6" t="s">
        <v>5</v>
      </c>
      <c r="C56" s="6" t="s">
        <v>281</v>
      </c>
    </row>
    <row r="57" spans="1:3" ht="20.100000000000001" customHeight="1">
      <c r="A57" s="7" t="s">
        <v>179</v>
      </c>
      <c r="B57" s="3" t="s">
        <v>8</v>
      </c>
      <c r="C57" s="3" t="s">
        <v>348</v>
      </c>
    </row>
    <row r="58" spans="1:3" ht="20.100000000000001" customHeight="1">
      <c r="A58" s="3" t="s">
        <v>150</v>
      </c>
      <c r="B58" s="3" t="s">
        <v>6</v>
      </c>
      <c r="C58" s="3" t="s">
        <v>355</v>
      </c>
    </row>
    <row r="59" spans="1:3" ht="20.100000000000001" customHeight="1">
      <c r="A59" s="7" t="s">
        <v>184</v>
      </c>
      <c r="B59" s="3" t="s">
        <v>8</v>
      </c>
      <c r="C59" s="3" t="s">
        <v>364</v>
      </c>
    </row>
    <row r="60" spans="1:3" ht="20.100000000000001" customHeight="1">
      <c r="A60" s="3" t="s">
        <v>185</v>
      </c>
      <c r="B60" s="3" t="s">
        <v>8</v>
      </c>
      <c r="C60" s="3" t="s">
        <v>367</v>
      </c>
    </row>
    <row r="61" spans="1:3" ht="20.100000000000001" customHeight="1">
      <c r="A61" s="3" t="s">
        <v>156</v>
      </c>
      <c r="B61" s="6" t="s">
        <v>8</v>
      </c>
      <c r="C61" s="6" t="s">
        <v>374</v>
      </c>
    </row>
    <row r="62" spans="1:3" ht="20.100000000000001" customHeight="1">
      <c r="A62" s="3" t="s">
        <v>158</v>
      </c>
      <c r="B62" s="6" t="s">
        <v>8</v>
      </c>
      <c r="C62" s="6" t="s">
        <v>376</v>
      </c>
    </row>
    <row r="63" spans="1:3" ht="20.100000000000001" customHeight="1">
      <c r="A63" s="3" t="s">
        <v>163</v>
      </c>
      <c r="B63" s="207" t="s">
        <v>217</v>
      </c>
      <c r="C63" s="6" t="s">
        <v>272</v>
      </c>
    </row>
    <row r="64" spans="1:3" ht="20.100000000000001" customHeight="1">
      <c r="A64" s="3" t="s">
        <v>155</v>
      </c>
      <c r="B64" s="6" t="s">
        <v>6</v>
      </c>
      <c r="C64" s="6" t="s">
        <v>373</v>
      </c>
    </row>
    <row r="65" spans="1:3" ht="20.100000000000001" customHeight="1">
      <c r="A65" s="3" t="s">
        <v>48</v>
      </c>
      <c r="B65" s="6" t="s">
        <v>5</v>
      </c>
      <c r="C65" s="6" t="s">
        <v>391</v>
      </c>
    </row>
    <row r="66" spans="1:3" ht="20.100000000000001" customHeight="1">
      <c r="A66" s="3" t="s">
        <v>154</v>
      </c>
      <c r="B66" s="3" t="s">
        <v>217</v>
      </c>
      <c r="C66" s="3" t="s">
        <v>372</v>
      </c>
    </row>
    <row r="67" spans="1:3" ht="20.100000000000001" customHeight="1">
      <c r="A67" s="3" t="s">
        <v>112</v>
      </c>
      <c r="B67" s="3" t="s">
        <v>8</v>
      </c>
      <c r="C67" s="3" t="s">
        <v>320</v>
      </c>
    </row>
    <row r="68" spans="1:3" ht="20.100000000000001" customHeight="1">
      <c r="A68" s="9" t="s">
        <v>237</v>
      </c>
      <c r="B68" s="3" t="s">
        <v>227</v>
      </c>
      <c r="C68" s="3" t="s">
        <v>1124</v>
      </c>
    </row>
    <row r="69" spans="1:3" ht="20.100000000000001" customHeight="1">
      <c r="A69" s="3" t="s">
        <v>1138</v>
      </c>
      <c r="B69" s="3" t="s">
        <v>1139</v>
      </c>
      <c r="C69" s="3" t="s">
        <v>1140</v>
      </c>
    </row>
    <row r="70" spans="1:3" ht="20.100000000000001" customHeight="1">
      <c r="A70" s="3" t="s">
        <v>46</v>
      </c>
      <c r="B70" s="6" t="s">
        <v>447</v>
      </c>
      <c r="C70" s="6" t="s">
        <v>389</v>
      </c>
    </row>
    <row r="71" spans="1:3" ht="20.100000000000001" customHeight="1">
      <c r="A71" s="3" t="s">
        <v>408</v>
      </c>
      <c r="B71" s="3" t="s">
        <v>442</v>
      </c>
      <c r="C71" s="3" t="s">
        <v>229</v>
      </c>
    </row>
    <row r="72" spans="1:3" ht="20.100000000000001" customHeight="1">
      <c r="A72" s="3" t="s">
        <v>1072</v>
      </c>
      <c r="B72" s="3" t="s">
        <v>1047</v>
      </c>
      <c r="C72" s="3" t="s">
        <v>1046</v>
      </c>
    </row>
    <row r="73" spans="1:3" ht="20.100000000000001" customHeight="1">
      <c r="A73" s="3" t="s">
        <v>416</v>
      </c>
      <c r="B73" s="3" t="s">
        <v>8</v>
      </c>
      <c r="C73" s="3" t="s">
        <v>421</v>
      </c>
    </row>
    <row r="74" spans="1:3" ht="20.100000000000001" customHeight="1">
      <c r="A74" s="9" t="s">
        <v>40</v>
      </c>
      <c r="B74" s="3" t="s">
        <v>441</v>
      </c>
      <c r="C74" s="3" t="s">
        <v>1137</v>
      </c>
    </row>
    <row r="75" spans="1:3" ht="20.100000000000001" customHeight="1">
      <c r="A75" s="3" t="s">
        <v>1142</v>
      </c>
      <c r="B75" s="3" t="s">
        <v>441</v>
      </c>
      <c r="C75" s="3" t="s">
        <v>1143</v>
      </c>
    </row>
    <row r="76" spans="1:3" ht="20.100000000000001" customHeight="1">
      <c r="A76" s="3" t="s">
        <v>413</v>
      </c>
      <c r="B76" s="6" t="s">
        <v>217</v>
      </c>
      <c r="C76" s="6" t="s">
        <v>414</v>
      </c>
    </row>
    <row r="77" spans="1:3" ht="20.100000000000001" customHeight="1">
      <c r="A77" s="3" t="s">
        <v>591</v>
      </c>
      <c r="B77" s="6" t="s">
        <v>578</v>
      </c>
      <c r="C77" s="6" t="s">
        <v>579</v>
      </c>
    </row>
    <row r="78" spans="1:3" ht="20.100000000000001" customHeight="1">
      <c r="A78" s="8" t="s">
        <v>45</v>
      </c>
      <c r="B78" s="6" t="s">
        <v>6</v>
      </c>
      <c r="C78" s="6" t="s">
        <v>388</v>
      </c>
    </row>
    <row r="79" spans="1:3" ht="20.100000000000001" customHeight="1">
      <c r="A79" s="3" t="s">
        <v>1179</v>
      </c>
      <c r="B79" s="6" t="s">
        <v>6</v>
      </c>
      <c r="C79" s="6" t="s">
        <v>250</v>
      </c>
    </row>
    <row r="80" spans="1:3" ht="20.100000000000001" customHeight="1">
      <c r="A80" s="3" t="s">
        <v>41</v>
      </c>
      <c r="B80" s="3" t="s">
        <v>5</v>
      </c>
      <c r="C80" s="3" t="s">
        <v>341</v>
      </c>
    </row>
    <row r="81" spans="1:3" ht="20.100000000000001" customHeight="1">
      <c r="A81" s="7" t="s">
        <v>87</v>
      </c>
      <c r="B81" s="3" t="s">
        <v>217</v>
      </c>
      <c r="C81" s="3" t="s">
        <v>360</v>
      </c>
    </row>
    <row r="82" spans="1:3" ht="20.100000000000001" customHeight="1">
      <c r="A82" s="3" t="s">
        <v>1922</v>
      </c>
      <c r="B82" s="3" t="s">
        <v>1923</v>
      </c>
      <c r="C82" s="3" t="s">
        <v>1924</v>
      </c>
    </row>
    <row r="83" spans="1:3" ht="20.100000000000001" customHeight="1">
      <c r="A83" s="3" t="s">
        <v>1197</v>
      </c>
      <c r="B83" s="6" t="s">
        <v>1198</v>
      </c>
      <c r="C83" s="6" t="s">
        <v>1199</v>
      </c>
    </row>
    <row r="84" spans="1:3" ht="20.100000000000001" customHeight="1">
      <c r="A84" s="3" t="s">
        <v>1937</v>
      </c>
      <c r="B84" s="3" t="s">
        <v>442</v>
      </c>
      <c r="C84" s="6" t="s">
        <v>1931</v>
      </c>
    </row>
    <row r="85" spans="1:3" ht="20.100000000000001" customHeight="1">
      <c r="A85" s="3" t="s">
        <v>1202</v>
      </c>
      <c r="B85" s="3" t="s">
        <v>1198</v>
      </c>
      <c r="C85" s="3" t="s">
        <v>1201</v>
      </c>
    </row>
    <row r="86" spans="1:3" ht="20.100000000000001" customHeight="1">
      <c r="A86" s="3" t="s">
        <v>1180</v>
      </c>
      <c r="B86" s="6" t="s">
        <v>1182</v>
      </c>
      <c r="C86" s="6" t="s">
        <v>1183</v>
      </c>
    </row>
    <row r="87" spans="1:3" ht="20.100000000000001" customHeight="1">
      <c r="A87" s="3" t="s">
        <v>1942</v>
      </c>
      <c r="B87" s="3" t="s">
        <v>1195</v>
      </c>
      <c r="C87" s="3" t="s">
        <v>1196</v>
      </c>
    </row>
    <row r="88" spans="1:3" ht="20.100000000000001" customHeight="1">
      <c r="A88" s="3" t="s">
        <v>61</v>
      </c>
      <c r="B88" s="6" t="s">
        <v>8</v>
      </c>
      <c r="C88" s="6" t="s">
        <v>246</v>
      </c>
    </row>
    <row r="89" spans="1:3" ht="20.100000000000001" customHeight="1">
      <c r="A89" s="3" t="s">
        <v>151</v>
      </c>
      <c r="B89" s="3" t="s">
        <v>8</v>
      </c>
      <c r="C89" s="3" t="s">
        <v>1141</v>
      </c>
    </row>
    <row r="90" spans="1:3" ht="20.100000000000001" customHeight="1">
      <c r="A90" s="3" t="s">
        <v>157</v>
      </c>
      <c r="B90" s="6" t="s">
        <v>8</v>
      </c>
      <c r="C90" s="6" t="s">
        <v>375</v>
      </c>
    </row>
    <row r="91" spans="1:3" ht="20.100000000000001" customHeight="1">
      <c r="A91" s="3" t="s">
        <v>1969</v>
      </c>
      <c r="B91" s="6" t="s">
        <v>8</v>
      </c>
      <c r="C91" s="6" t="s">
        <v>1970</v>
      </c>
    </row>
    <row r="92" spans="1:3" ht="20.100000000000001" customHeight="1">
      <c r="A92" s="3" t="s">
        <v>1973</v>
      </c>
      <c r="B92" s="6" t="s">
        <v>442</v>
      </c>
      <c r="C92" s="6" t="s">
        <v>1974</v>
      </c>
    </row>
    <row r="93" spans="1:3" ht="20.100000000000001" customHeight="1">
      <c r="A93" s="7" t="s">
        <v>47</v>
      </c>
      <c r="B93" s="6" t="s">
        <v>5</v>
      </c>
      <c r="C93" s="6" t="s">
        <v>390</v>
      </c>
    </row>
    <row r="94" spans="1:3" ht="20.100000000000001" customHeight="1">
      <c r="A94" s="3" t="s">
        <v>108</v>
      </c>
      <c r="B94" s="6" t="s">
        <v>8</v>
      </c>
      <c r="C94" s="6" t="s">
        <v>255</v>
      </c>
    </row>
    <row r="95" spans="1:3" ht="20.100000000000001" customHeight="1">
      <c r="A95" s="3" t="s">
        <v>197</v>
      </c>
      <c r="B95" s="6" t="s">
        <v>8</v>
      </c>
      <c r="C95" s="3" t="s">
        <v>357</v>
      </c>
    </row>
    <row r="96" spans="1:3" ht="20.100000000000001" customHeight="1">
      <c r="A96" s="3" t="s">
        <v>145</v>
      </c>
      <c r="B96" s="6" t="s">
        <v>8</v>
      </c>
      <c r="C96" s="3" t="s">
        <v>1163</v>
      </c>
    </row>
    <row r="97" spans="1:3" ht="20.100000000000001" customHeight="1">
      <c r="A97" s="3" t="s">
        <v>124</v>
      </c>
      <c r="B97" s="6" t="s">
        <v>6</v>
      </c>
      <c r="C97" s="6" t="s">
        <v>306</v>
      </c>
    </row>
    <row r="98" spans="1:3" ht="20.100000000000001" customHeight="1">
      <c r="A98" s="8" t="s">
        <v>32</v>
      </c>
      <c r="B98" s="6" t="s">
        <v>217</v>
      </c>
      <c r="C98" s="6" t="s">
        <v>309</v>
      </c>
    </row>
    <row r="99" spans="1:3" ht="20.100000000000001" customHeight="1">
      <c r="A99" s="3" t="s">
        <v>33</v>
      </c>
      <c r="B99" s="6" t="s">
        <v>6</v>
      </c>
      <c r="C99" s="6" t="s">
        <v>310</v>
      </c>
    </row>
    <row r="100" spans="1:3" ht="20.100000000000001" customHeight="1">
      <c r="A100" s="3" t="s">
        <v>31</v>
      </c>
      <c r="B100" s="6" t="s">
        <v>217</v>
      </c>
      <c r="C100" s="6" t="s">
        <v>308</v>
      </c>
    </row>
    <row r="101" spans="1:3" ht="20.100000000000001" customHeight="1">
      <c r="A101" s="3" t="s">
        <v>192</v>
      </c>
      <c r="B101" s="6" t="s">
        <v>8</v>
      </c>
      <c r="C101" s="6" t="s">
        <v>253</v>
      </c>
    </row>
    <row r="102" spans="1:3" ht="20.100000000000001" customHeight="1">
      <c r="A102" s="3" t="s">
        <v>9</v>
      </c>
      <c r="B102" s="6" t="s">
        <v>6</v>
      </c>
      <c r="C102" s="6" t="s">
        <v>258</v>
      </c>
    </row>
    <row r="103" spans="1:3" ht="20.100000000000001" customHeight="1">
      <c r="A103" s="3" t="s">
        <v>118</v>
      </c>
      <c r="B103" s="6" t="s">
        <v>8</v>
      </c>
      <c r="C103" s="6" t="s">
        <v>274</v>
      </c>
    </row>
    <row r="104" spans="1:3" ht="20.100000000000001" customHeight="1">
      <c r="A104" s="3" t="s">
        <v>1081</v>
      </c>
      <c r="B104" s="6" t="s">
        <v>1048</v>
      </c>
      <c r="C104" s="6" t="s">
        <v>1049</v>
      </c>
    </row>
    <row r="105" spans="1:3" ht="20.100000000000001" customHeight="1">
      <c r="A105" s="3" t="s">
        <v>129</v>
      </c>
      <c r="B105" s="6" t="s">
        <v>6</v>
      </c>
      <c r="C105" s="6" t="s">
        <v>323</v>
      </c>
    </row>
    <row r="106" spans="1:3" ht="20.100000000000001" customHeight="1">
      <c r="A106" s="11" t="s">
        <v>136</v>
      </c>
      <c r="B106" s="6" t="s">
        <v>217</v>
      </c>
      <c r="C106" s="6" t="s">
        <v>332</v>
      </c>
    </row>
    <row r="107" spans="1:3" ht="20.100000000000001" customHeight="1">
      <c r="A107" s="3" t="s">
        <v>1944</v>
      </c>
      <c r="B107" s="6" t="s">
        <v>1188</v>
      </c>
      <c r="C107" s="110" t="s">
        <v>1134</v>
      </c>
    </row>
    <row r="108" spans="1:3" ht="20.100000000000001" customHeight="1">
      <c r="A108" s="3" t="s">
        <v>23</v>
      </c>
      <c r="B108" s="6" t="s">
        <v>6</v>
      </c>
      <c r="C108" s="6" t="s">
        <v>292</v>
      </c>
    </row>
    <row r="109" spans="1:3" ht="20.100000000000001" customHeight="1">
      <c r="A109" s="3" t="s">
        <v>122</v>
      </c>
      <c r="B109" s="6" t="s">
        <v>8</v>
      </c>
      <c r="C109" s="6" t="s">
        <v>301</v>
      </c>
    </row>
    <row r="110" spans="1:3" ht="20.100000000000001" customHeight="1">
      <c r="A110" s="3" t="s">
        <v>130</v>
      </c>
      <c r="B110" s="6" t="s">
        <v>8</v>
      </c>
      <c r="C110" s="6" t="s">
        <v>325</v>
      </c>
    </row>
    <row r="111" spans="1:3" ht="20.100000000000001" customHeight="1">
      <c r="A111" s="10" t="s">
        <v>180</v>
      </c>
      <c r="B111" s="6" t="s">
        <v>217</v>
      </c>
      <c r="C111" s="3" t="s">
        <v>356</v>
      </c>
    </row>
    <row r="112" spans="1:3" ht="20.100000000000001" customHeight="1">
      <c r="A112" s="3" t="s">
        <v>198</v>
      </c>
      <c r="B112" s="6" t="s">
        <v>8</v>
      </c>
      <c r="C112" s="3" t="s">
        <v>358</v>
      </c>
    </row>
    <row r="113" spans="1:3" ht="20.100000000000001" customHeight="1">
      <c r="A113" s="3" t="s">
        <v>50</v>
      </c>
      <c r="B113" s="6" t="s">
        <v>6</v>
      </c>
      <c r="C113" s="3" t="s">
        <v>402</v>
      </c>
    </row>
    <row r="114" spans="1:3" ht="20.100000000000001" customHeight="1">
      <c r="A114" s="8" t="s">
        <v>25</v>
      </c>
      <c r="B114" s="13" t="s">
        <v>6</v>
      </c>
      <c r="C114" s="6" t="s">
        <v>294</v>
      </c>
    </row>
    <row r="115" spans="1:3" ht="20.100000000000001" customHeight="1">
      <c r="A115" s="3" t="s">
        <v>238</v>
      </c>
      <c r="B115" s="6" t="s">
        <v>217</v>
      </c>
      <c r="C115" s="6" t="s">
        <v>239</v>
      </c>
    </row>
    <row r="116" spans="1:3" ht="20.100000000000001" customHeight="1">
      <c r="A116" s="3" t="s">
        <v>24</v>
      </c>
      <c r="B116" s="6" t="s">
        <v>8</v>
      </c>
      <c r="C116" s="6" t="s">
        <v>293</v>
      </c>
    </row>
    <row r="117" spans="1:3" ht="20.100000000000001" customHeight="1">
      <c r="A117" s="3" t="s">
        <v>29</v>
      </c>
      <c r="B117" s="6" t="s">
        <v>217</v>
      </c>
      <c r="C117" s="6" t="s">
        <v>303</v>
      </c>
    </row>
    <row r="118" spans="1:3" ht="20.100000000000001" customHeight="1">
      <c r="A118" s="8" t="s">
        <v>194</v>
      </c>
      <c r="B118" s="6" t="s">
        <v>8</v>
      </c>
      <c r="C118" s="6" t="s">
        <v>315</v>
      </c>
    </row>
    <row r="119" spans="1:3" ht="20.100000000000001" customHeight="1">
      <c r="A119" s="8" t="s">
        <v>195</v>
      </c>
      <c r="B119" s="6" t="s">
        <v>8</v>
      </c>
      <c r="C119" s="6" t="s">
        <v>327</v>
      </c>
    </row>
    <row r="120" spans="1:3" ht="20.100000000000001" customHeight="1">
      <c r="A120" s="3" t="s">
        <v>200</v>
      </c>
      <c r="B120" s="6" t="s">
        <v>8</v>
      </c>
      <c r="C120" s="6" t="s">
        <v>379</v>
      </c>
    </row>
    <row r="121" spans="1:3" ht="20.100000000000001" customHeight="1">
      <c r="A121" s="3" t="s">
        <v>1090</v>
      </c>
      <c r="B121" s="6" t="s">
        <v>6</v>
      </c>
      <c r="C121" s="3" t="s">
        <v>395</v>
      </c>
    </row>
    <row r="122" spans="1:3" ht="20.100000000000001" customHeight="1">
      <c r="A122" s="3" t="s">
        <v>203</v>
      </c>
      <c r="B122" s="6" t="s">
        <v>5</v>
      </c>
      <c r="C122" s="3" t="s">
        <v>404</v>
      </c>
    </row>
    <row r="123" spans="1:3" ht="20.100000000000001" customHeight="1">
      <c r="A123" s="8" t="s">
        <v>177</v>
      </c>
      <c r="B123" s="6" t="s">
        <v>7</v>
      </c>
      <c r="C123" s="3" t="s">
        <v>340</v>
      </c>
    </row>
    <row r="124" spans="1:3" ht="20.100000000000001" customHeight="1">
      <c r="A124" s="3" t="s">
        <v>1091</v>
      </c>
      <c r="B124" s="6" t="s">
        <v>217</v>
      </c>
      <c r="C124" s="3" t="s">
        <v>370</v>
      </c>
    </row>
    <row r="125" spans="1:3" ht="20.100000000000001" customHeight="1">
      <c r="A125" s="3" t="s">
        <v>434</v>
      </c>
      <c r="B125" s="6" t="s">
        <v>8</v>
      </c>
      <c r="C125" s="3" t="s">
        <v>430</v>
      </c>
    </row>
    <row r="126" spans="1:3" ht="20.100000000000001" customHeight="1">
      <c r="A126" s="11" t="s">
        <v>426</v>
      </c>
      <c r="B126" s="6" t="s">
        <v>217</v>
      </c>
      <c r="C126" s="3" t="s">
        <v>427</v>
      </c>
    </row>
    <row r="127" spans="1:3" ht="20.100000000000001" customHeight="1">
      <c r="A127" s="3" t="s">
        <v>202</v>
      </c>
      <c r="B127" s="6" t="s">
        <v>217</v>
      </c>
      <c r="C127" s="6" t="s">
        <v>397</v>
      </c>
    </row>
    <row r="128" spans="1:3" ht="20.100000000000001" customHeight="1">
      <c r="A128" s="3" t="s">
        <v>571</v>
      </c>
      <c r="B128" s="6" t="s">
        <v>217</v>
      </c>
      <c r="C128" s="6" t="s">
        <v>568</v>
      </c>
    </row>
    <row r="129" spans="1:3" ht="20.100000000000001" customHeight="1">
      <c r="A129" s="3" t="s">
        <v>35</v>
      </c>
      <c r="B129" s="6" t="s">
        <v>8</v>
      </c>
      <c r="C129" s="6" t="s">
        <v>311</v>
      </c>
    </row>
    <row r="130" spans="1:3" ht="20.100000000000001" customHeight="1">
      <c r="A130" s="3" t="s">
        <v>1169</v>
      </c>
      <c r="B130" s="6" t="s">
        <v>1170</v>
      </c>
      <c r="C130" s="6" t="s">
        <v>1171</v>
      </c>
    </row>
    <row r="131" spans="1:3" ht="20.100000000000001" customHeight="1">
      <c r="A131" s="3" t="s">
        <v>1192</v>
      </c>
      <c r="B131" s="6" t="s">
        <v>1078</v>
      </c>
      <c r="C131" s="3" t="s">
        <v>1079</v>
      </c>
    </row>
    <row r="132" spans="1:3" ht="20.100000000000001" customHeight="1">
      <c r="A132" s="3" t="s">
        <v>230</v>
      </c>
      <c r="B132" s="6" t="s">
        <v>227</v>
      </c>
      <c r="C132" s="3" t="s">
        <v>231</v>
      </c>
    </row>
    <row r="133" spans="1:3" ht="20.100000000000001" customHeight="1">
      <c r="A133" s="3" t="s">
        <v>242</v>
      </c>
      <c r="B133" s="6" t="s">
        <v>6</v>
      </c>
      <c r="C133" s="3" t="s">
        <v>1133</v>
      </c>
    </row>
    <row r="134" spans="1:3" ht="20.100000000000001" customHeight="1">
      <c r="A134" s="3" t="s">
        <v>1940</v>
      </c>
      <c r="B134" s="6" t="s">
        <v>445</v>
      </c>
      <c r="C134" s="6" t="s">
        <v>269</v>
      </c>
    </row>
    <row r="135" spans="1:3" ht="20.100000000000001" customHeight="1">
      <c r="A135" s="3" t="s">
        <v>1965</v>
      </c>
      <c r="B135" s="3" t="s">
        <v>1925</v>
      </c>
      <c r="C135" s="3" t="s">
        <v>1926</v>
      </c>
    </row>
    <row r="136" spans="1:3" ht="20.100000000000001" customHeight="1">
      <c r="A136" s="3" t="s">
        <v>1972</v>
      </c>
      <c r="B136" s="6" t="s">
        <v>116</v>
      </c>
      <c r="C136" s="3" t="s">
        <v>1967</v>
      </c>
    </row>
    <row r="137" spans="1:3" ht="20.100000000000001" customHeight="1">
      <c r="A137" s="11" t="s">
        <v>1961</v>
      </c>
      <c r="B137" s="6" t="s">
        <v>116</v>
      </c>
      <c r="C137" s="3" t="s">
        <v>1962</v>
      </c>
    </row>
    <row r="138" spans="1:3" ht="20.100000000000001" customHeight="1">
      <c r="A138" s="3" t="s">
        <v>1936</v>
      </c>
      <c r="B138" s="3" t="s">
        <v>442</v>
      </c>
      <c r="C138" s="6" t="s">
        <v>1930</v>
      </c>
    </row>
    <row r="139" spans="1:3" ht="20.100000000000001" customHeight="1">
      <c r="A139" s="3" t="s">
        <v>127</v>
      </c>
      <c r="B139" s="6" t="s">
        <v>8</v>
      </c>
      <c r="C139" s="6" t="s">
        <v>314</v>
      </c>
    </row>
    <row r="140" spans="1:3" ht="20.100000000000001" customHeight="1">
      <c r="A140" s="3" t="s">
        <v>1200</v>
      </c>
      <c r="B140" s="3" t="s">
        <v>1193</v>
      </c>
      <c r="C140" s="3" t="s">
        <v>1194</v>
      </c>
    </row>
    <row r="141" spans="1:3" ht="20.100000000000001" customHeight="1">
      <c r="A141" s="3" t="s">
        <v>1963</v>
      </c>
      <c r="B141" s="6" t="s">
        <v>442</v>
      </c>
      <c r="C141" s="4" t="s">
        <v>1964</v>
      </c>
    </row>
    <row r="142" spans="1:3" ht="20.100000000000001" customHeight="1">
      <c r="A142" s="3" t="s">
        <v>148</v>
      </c>
      <c r="B142" s="6" t="s">
        <v>8</v>
      </c>
      <c r="C142" s="109" t="s">
        <v>1132</v>
      </c>
    </row>
    <row r="143" spans="1:3" ht="20.100000000000001" customHeight="1">
      <c r="A143" s="3" t="s">
        <v>1174</v>
      </c>
      <c r="B143" s="6" t="s">
        <v>442</v>
      </c>
      <c r="C143" s="6" t="s">
        <v>1175</v>
      </c>
    </row>
    <row r="144" spans="1:3" ht="20.100000000000001" customHeight="1">
      <c r="A144" s="11" t="s">
        <v>143</v>
      </c>
      <c r="B144" s="6" t="s">
        <v>6</v>
      </c>
      <c r="C144" s="3" t="s">
        <v>1131</v>
      </c>
    </row>
    <row r="145" spans="1:3" ht="20.100000000000001" customHeight="1">
      <c r="A145" s="3" t="s">
        <v>167</v>
      </c>
      <c r="B145" s="6" t="s">
        <v>217</v>
      </c>
      <c r="C145" s="6" t="s">
        <v>295</v>
      </c>
    </row>
    <row r="146" spans="1:3" ht="20.100000000000001" customHeight="1">
      <c r="A146" s="3" t="s">
        <v>70</v>
      </c>
      <c r="B146" s="6" t="s">
        <v>217</v>
      </c>
      <c r="C146" s="6" t="s">
        <v>285</v>
      </c>
    </row>
    <row r="147" spans="1:3" ht="20.100000000000001" customHeight="1">
      <c r="A147" s="3" t="s">
        <v>101</v>
      </c>
      <c r="B147" s="6" t="s">
        <v>8</v>
      </c>
      <c r="C147" s="6" t="s">
        <v>405</v>
      </c>
    </row>
    <row r="148" spans="1:3" ht="20.100000000000001" customHeight="1">
      <c r="A148" s="3" t="s">
        <v>168</v>
      </c>
      <c r="B148" s="6" t="s">
        <v>8</v>
      </c>
      <c r="C148" s="6" t="s">
        <v>296</v>
      </c>
    </row>
    <row r="149" spans="1:3" ht="20.100000000000001" customHeight="1">
      <c r="A149" s="3" t="s">
        <v>79</v>
      </c>
      <c r="B149" s="6" t="s">
        <v>564</v>
      </c>
      <c r="C149" s="6" t="s">
        <v>337</v>
      </c>
    </row>
    <row r="150" spans="1:3" ht="20.100000000000001" customHeight="1">
      <c r="A150" s="3" t="s">
        <v>83</v>
      </c>
      <c r="B150" s="6" t="s">
        <v>6</v>
      </c>
      <c r="C150" s="6" t="s">
        <v>350</v>
      </c>
    </row>
    <row r="151" spans="1:3" ht="20.100000000000001" customHeight="1">
      <c r="A151" s="3" t="s">
        <v>69</v>
      </c>
      <c r="B151" s="6" t="s">
        <v>217</v>
      </c>
      <c r="C151" s="6" t="s">
        <v>282</v>
      </c>
    </row>
    <row r="152" spans="1:3" ht="20.100000000000001" customHeight="1">
      <c r="A152" s="8" t="s">
        <v>76</v>
      </c>
      <c r="B152" s="6" t="s">
        <v>6</v>
      </c>
      <c r="C152" s="6" t="s">
        <v>321</v>
      </c>
    </row>
    <row r="153" spans="1:3" ht="20.100000000000001" customHeight="1">
      <c r="A153" s="3" t="s">
        <v>187</v>
      </c>
      <c r="B153" s="6" t="s">
        <v>6</v>
      </c>
      <c r="C153" s="6" t="s">
        <v>384</v>
      </c>
    </row>
    <row r="154" spans="1:3" ht="20.100000000000001" customHeight="1">
      <c r="A154" s="8" t="s">
        <v>191</v>
      </c>
      <c r="B154" s="6" t="s">
        <v>5</v>
      </c>
      <c r="C154" s="6" t="s">
        <v>398</v>
      </c>
    </row>
    <row r="155" spans="1:3" ht="20.100000000000001" customHeight="1">
      <c r="A155" s="3" t="s">
        <v>17</v>
      </c>
      <c r="B155" s="6" t="s">
        <v>217</v>
      </c>
      <c r="C155" s="6" t="s">
        <v>278</v>
      </c>
    </row>
    <row r="156" spans="1:3" ht="20.100000000000001" customHeight="1">
      <c r="A156" s="3" t="s">
        <v>67</v>
      </c>
      <c r="B156" s="6" t="s">
        <v>5</v>
      </c>
      <c r="C156" s="6" t="s">
        <v>279</v>
      </c>
    </row>
    <row r="157" spans="1:3" ht="20.100000000000001" customHeight="1">
      <c r="A157" s="3" t="s">
        <v>16</v>
      </c>
      <c r="B157" s="6" t="s">
        <v>217</v>
      </c>
      <c r="C157" s="6" t="s">
        <v>277</v>
      </c>
    </row>
    <row r="158" spans="1:3" ht="20.100000000000001" customHeight="1">
      <c r="A158" s="10" t="s">
        <v>73</v>
      </c>
      <c r="B158" s="6" t="s">
        <v>8</v>
      </c>
      <c r="C158" s="6" t="s">
        <v>307</v>
      </c>
    </row>
    <row r="159" spans="1:3" ht="20.100000000000001" customHeight="1">
      <c r="A159" s="3" t="s">
        <v>60</v>
      </c>
      <c r="B159" s="6" t="s">
        <v>217</v>
      </c>
      <c r="C159" s="6" t="s">
        <v>245</v>
      </c>
    </row>
    <row r="160" spans="1:3" ht="20.100000000000001" customHeight="1">
      <c r="A160" s="3" t="s">
        <v>15</v>
      </c>
      <c r="B160" s="6" t="s">
        <v>6</v>
      </c>
      <c r="C160" s="6" t="s">
        <v>276</v>
      </c>
    </row>
    <row r="161" spans="1:3" ht="20.100000000000001" customHeight="1">
      <c r="A161" s="3" t="s">
        <v>68</v>
      </c>
      <c r="B161" s="6" t="s">
        <v>8</v>
      </c>
      <c r="C161" s="6" t="s">
        <v>280</v>
      </c>
    </row>
    <row r="162" spans="1:3" ht="20.100000000000001" customHeight="1">
      <c r="A162" s="3" t="s">
        <v>77</v>
      </c>
      <c r="B162" s="6" t="s">
        <v>8</v>
      </c>
      <c r="C162" s="6" t="s">
        <v>322</v>
      </c>
    </row>
    <row r="163" spans="1:3" ht="20.100000000000001" customHeight="1">
      <c r="A163" s="8" t="s">
        <v>78</v>
      </c>
      <c r="B163" s="6" t="s">
        <v>1177</v>
      </c>
      <c r="C163" s="6" t="s">
        <v>335</v>
      </c>
    </row>
    <row r="164" spans="1:3" ht="20.100000000000001" customHeight="1">
      <c r="A164" s="3" t="s">
        <v>84</v>
      </c>
      <c r="B164" s="6" t="s">
        <v>8</v>
      </c>
      <c r="C164" s="6" t="s">
        <v>351</v>
      </c>
    </row>
    <row r="165" spans="1:3" ht="20.100000000000001" customHeight="1">
      <c r="A165" s="3" t="s">
        <v>188</v>
      </c>
      <c r="B165" s="6" t="s">
        <v>6</v>
      </c>
      <c r="C165" s="6" t="s">
        <v>385</v>
      </c>
    </row>
    <row r="166" spans="1:3" ht="20.100000000000001" customHeight="1">
      <c r="A166" s="8" t="s">
        <v>190</v>
      </c>
      <c r="B166" s="6" t="s">
        <v>217</v>
      </c>
      <c r="C166" s="6" t="s">
        <v>387</v>
      </c>
    </row>
    <row r="167" spans="1:3" ht="20.100000000000001" customHeight="1">
      <c r="A167" s="3" t="s">
        <v>95</v>
      </c>
      <c r="B167" s="6" t="s">
        <v>8</v>
      </c>
      <c r="C167" s="6" t="s">
        <v>396</v>
      </c>
    </row>
    <row r="168" spans="1:3" ht="20.100000000000001" customHeight="1">
      <c r="A168" s="3" t="s">
        <v>97</v>
      </c>
      <c r="B168" s="6" t="s">
        <v>584</v>
      </c>
      <c r="C168" s="6" t="s">
        <v>401</v>
      </c>
    </row>
    <row r="169" spans="1:3" ht="20.100000000000001" customHeight="1">
      <c r="A169" s="3" t="s">
        <v>170</v>
      </c>
      <c r="B169" s="6" t="s">
        <v>6</v>
      </c>
      <c r="C169" s="6" t="s">
        <v>297</v>
      </c>
    </row>
    <row r="170" spans="1:3" ht="20.100000000000001" customHeight="1">
      <c r="A170" s="3" t="s">
        <v>570</v>
      </c>
      <c r="B170" s="6" t="s">
        <v>564</v>
      </c>
      <c r="C170" s="6" t="s">
        <v>566</v>
      </c>
    </row>
    <row r="171" spans="1:3" ht="20.100000000000001" customHeight="1">
      <c r="A171" s="3" t="s">
        <v>410</v>
      </c>
      <c r="B171" s="3" t="s">
        <v>217</v>
      </c>
      <c r="C171" s="3" t="s">
        <v>412</v>
      </c>
    </row>
    <row r="172" spans="1:3" ht="20.100000000000001" customHeight="1">
      <c r="A172" s="9" t="s">
        <v>62</v>
      </c>
      <c r="B172" s="6" t="s">
        <v>217</v>
      </c>
      <c r="C172" s="6" t="s">
        <v>249</v>
      </c>
    </row>
    <row r="173" spans="1:3" ht="20.100000000000001" customHeight="1">
      <c r="A173" s="3" t="s">
        <v>594</v>
      </c>
      <c r="B173" s="6" t="s">
        <v>442</v>
      </c>
      <c r="C173" s="6" t="s">
        <v>596</v>
      </c>
    </row>
    <row r="174" spans="1:3" ht="20.100000000000001" customHeight="1">
      <c r="A174" s="3" t="s">
        <v>223</v>
      </c>
      <c r="B174" s="6" t="s">
        <v>8</v>
      </c>
      <c r="C174" s="6" t="s">
        <v>206</v>
      </c>
    </row>
    <row r="175" spans="1:3" ht="20.100000000000001" customHeight="1">
      <c r="A175" s="3" t="s">
        <v>1087</v>
      </c>
      <c r="B175" s="6" t="s">
        <v>1088</v>
      </c>
      <c r="C175" s="6" t="s">
        <v>1089</v>
      </c>
    </row>
    <row r="176" spans="1:3" ht="20.100000000000001" customHeight="1">
      <c r="A176" s="3" t="s">
        <v>216</v>
      </c>
      <c r="B176" s="6" t="s">
        <v>217</v>
      </c>
      <c r="C176" s="6" t="s">
        <v>218</v>
      </c>
    </row>
    <row r="177" spans="1:3" ht="20.100000000000001" customHeight="1">
      <c r="A177" s="3" t="s">
        <v>81</v>
      </c>
      <c r="B177" s="3" t="s">
        <v>217</v>
      </c>
      <c r="C177" s="3" t="s">
        <v>345</v>
      </c>
    </row>
    <row r="178" spans="1:3" ht="20.100000000000001" customHeight="1">
      <c r="A178" s="3" t="s">
        <v>1125</v>
      </c>
      <c r="B178" s="6" t="s">
        <v>1126</v>
      </c>
      <c r="C178" s="6" t="s">
        <v>1127</v>
      </c>
    </row>
    <row r="179" spans="1:3" ht="20.100000000000001" customHeight="1">
      <c r="A179" s="10" t="s">
        <v>162</v>
      </c>
      <c r="B179" s="6" t="s">
        <v>8</v>
      </c>
      <c r="C179" s="6" t="s">
        <v>257</v>
      </c>
    </row>
    <row r="180" spans="1:3" ht="20.100000000000001" customHeight="1">
      <c r="A180" s="3" t="s">
        <v>1172</v>
      </c>
      <c r="B180" s="6" t="s">
        <v>1167</v>
      </c>
      <c r="C180" s="6" t="s">
        <v>1168</v>
      </c>
    </row>
    <row r="181" spans="1:3" ht="20.100000000000001" customHeight="1">
      <c r="A181" s="3" t="s">
        <v>165</v>
      </c>
      <c r="B181" s="6" t="s">
        <v>217</v>
      </c>
      <c r="C181" s="6" t="s">
        <v>291</v>
      </c>
    </row>
    <row r="182" spans="1:3" ht="20.100000000000001" customHeight="1">
      <c r="A182" s="3" t="s">
        <v>166</v>
      </c>
      <c r="B182" s="6" t="s">
        <v>1203</v>
      </c>
      <c r="C182" s="6" t="s">
        <v>1204</v>
      </c>
    </row>
    <row r="183" spans="1:3" ht="20.100000000000001" customHeight="1">
      <c r="A183" s="3" t="s">
        <v>1916</v>
      </c>
      <c r="B183" s="3" t="s">
        <v>1919</v>
      </c>
      <c r="C183" s="3" t="s">
        <v>1920</v>
      </c>
    </row>
    <row r="184" spans="1:3" ht="20.100000000000001" customHeight="1">
      <c r="A184" s="3" t="s">
        <v>1934</v>
      </c>
      <c r="B184" s="3" t="s">
        <v>1927</v>
      </c>
      <c r="C184" s="3" t="s">
        <v>1928</v>
      </c>
    </row>
    <row r="185" spans="1:3" ht="20.100000000000001" customHeight="1">
      <c r="A185" s="3" t="s">
        <v>189</v>
      </c>
      <c r="B185" s="6" t="s">
        <v>6</v>
      </c>
      <c r="C185" s="6" t="s">
        <v>386</v>
      </c>
    </row>
    <row r="186" spans="1:3" ht="20.100000000000001" customHeight="1">
      <c r="A186" s="3" t="s">
        <v>1955</v>
      </c>
      <c r="B186" s="6" t="s">
        <v>6</v>
      </c>
      <c r="C186" s="6" t="s">
        <v>394</v>
      </c>
    </row>
    <row r="187" spans="1:3" ht="20.100000000000001" customHeight="1">
      <c r="A187" s="3" t="s">
        <v>1971</v>
      </c>
      <c r="B187" s="6" t="s">
        <v>116</v>
      </c>
      <c r="C187" s="6" t="s">
        <v>1966</v>
      </c>
    </row>
    <row r="188" spans="1:3" ht="20.100000000000001" customHeight="1">
      <c r="A188" s="3" t="s">
        <v>71</v>
      </c>
      <c r="B188" s="6" t="s">
        <v>8</v>
      </c>
      <c r="C188" s="6" t="s">
        <v>286</v>
      </c>
    </row>
    <row r="189" spans="1:3" ht="20.100000000000001" customHeight="1">
      <c r="A189" s="3" t="s">
        <v>80</v>
      </c>
      <c r="B189" s="6" t="s">
        <v>8</v>
      </c>
      <c r="C189" s="6" t="s">
        <v>338</v>
      </c>
    </row>
    <row r="190" spans="1:3" ht="20.100000000000001" customHeight="1">
      <c r="A190" s="3" t="s">
        <v>1190</v>
      </c>
      <c r="B190" s="6" t="s">
        <v>1185</v>
      </c>
      <c r="C190" s="6" t="s">
        <v>1191</v>
      </c>
    </row>
    <row r="191" spans="1:3" ht="20.100000000000001" customHeight="1">
      <c r="A191" s="3" t="s">
        <v>209</v>
      </c>
      <c r="B191" s="6" t="s">
        <v>217</v>
      </c>
      <c r="C191" s="6" t="s">
        <v>210</v>
      </c>
    </row>
    <row r="192" spans="1:3" ht="20.100000000000001" customHeight="1">
      <c r="A192" s="11" t="s">
        <v>133</v>
      </c>
      <c r="B192" s="5" t="s">
        <v>6</v>
      </c>
      <c r="C192" s="6" t="s">
        <v>330</v>
      </c>
    </row>
    <row r="193" spans="1:3" ht="20.100000000000001" customHeight="1">
      <c r="A193" s="3" t="s">
        <v>1101</v>
      </c>
      <c r="B193" s="6" t="s">
        <v>217</v>
      </c>
      <c r="C193" s="6" t="s">
        <v>326</v>
      </c>
    </row>
    <row r="194" spans="1:3" ht="20.100000000000001" customHeight="1">
      <c r="A194" s="10" t="s">
        <v>105</v>
      </c>
      <c r="B194" s="5" t="s">
        <v>1122</v>
      </c>
      <c r="C194" s="6" t="s">
        <v>259</v>
      </c>
    </row>
    <row r="195" spans="1:3" ht="20.100000000000001" customHeight="1">
      <c r="A195" s="14" t="s">
        <v>123</v>
      </c>
      <c r="B195" s="6" t="s">
        <v>217</v>
      </c>
      <c r="C195" s="6" t="s">
        <v>305</v>
      </c>
    </row>
    <row r="196" spans="1:3" ht="20.100000000000001" customHeight="1">
      <c r="A196" s="11" t="s">
        <v>125</v>
      </c>
      <c r="B196" s="6" t="s">
        <v>6</v>
      </c>
      <c r="C196" s="112" t="s">
        <v>1144</v>
      </c>
    </row>
    <row r="197" spans="1:3" ht="20.100000000000001" customHeight="1">
      <c r="A197" s="11" t="s">
        <v>153</v>
      </c>
      <c r="B197" s="6" t="s">
        <v>6</v>
      </c>
      <c r="C197" s="6" t="s">
        <v>371</v>
      </c>
    </row>
    <row r="198" spans="1:3" ht="20.100000000000001" customHeight="1">
      <c r="A198" s="3" t="s">
        <v>64</v>
      </c>
      <c r="B198" s="6" t="s">
        <v>6</v>
      </c>
      <c r="C198" s="6" t="s">
        <v>260</v>
      </c>
    </row>
    <row r="199" spans="1:3" ht="20.100000000000001" customHeight="1">
      <c r="A199" s="11" t="s">
        <v>131</v>
      </c>
      <c r="B199" s="6" t="s">
        <v>5</v>
      </c>
      <c r="C199" s="6" t="s">
        <v>328</v>
      </c>
    </row>
    <row r="200" spans="1:3" ht="20.100000000000001" customHeight="1">
      <c r="A200" s="3" t="s">
        <v>140</v>
      </c>
      <c r="B200" s="6" t="s">
        <v>6</v>
      </c>
      <c r="C200" s="6" t="s">
        <v>336</v>
      </c>
    </row>
    <row r="201" spans="1:3" ht="20.100000000000001" customHeight="1">
      <c r="A201" s="3" t="s">
        <v>103</v>
      </c>
      <c r="B201" s="5" t="s">
        <v>6</v>
      </c>
      <c r="C201" s="6" t="s">
        <v>342</v>
      </c>
    </row>
    <row r="202" spans="1:3" ht="20.100000000000001" customHeight="1">
      <c r="A202" s="3" t="s">
        <v>147</v>
      </c>
      <c r="B202" s="6" t="s">
        <v>8</v>
      </c>
      <c r="C202" s="6" t="s">
        <v>347</v>
      </c>
    </row>
    <row r="203" spans="1:3" ht="20.100000000000001" customHeight="1">
      <c r="A203" s="7" t="s">
        <v>90</v>
      </c>
      <c r="B203" s="6" t="s">
        <v>8</v>
      </c>
      <c r="C203" s="6" t="s">
        <v>369</v>
      </c>
    </row>
    <row r="204" spans="1:3" ht="20.100000000000001" customHeight="1">
      <c r="A204" s="7" t="s">
        <v>58</v>
      </c>
      <c r="B204" s="6" t="s">
        <v>8</v>
      </c>
      <c r="C204" s="6" t="s">
        <v>382</v>
      </c>
    </row>
    <row r="205" spans="1:3" ht="20.100000000000001" customHeight="1">
      <c r="A205" s="3" t="s">
        <v>104</v>
      </c>
      <c r="B205" s="6" t="s">
        <v>217</v>
      </c>
      <c r="C205" s="6" t="s">
        <v>572</v>
      </c>
    </row>
    <row r="206" spans="1:3" ht="20.100000000000001" customHeight="1">
      <c r="A206" s="3" t="s">
        <v>126</v>
      </c>
      <c r="B206" s="6" t="s">
        <v>8</v>
      </c>
      <c r="C206" s="112" t="s">
        <v>1145</v>
      </c>
    </row>
    <row r="207" spans="1:3" ht="20.100000000000001" customHeight="1">
      <c r="A207" s="11" t="s">
        <v>132</v>
      </c>
      <c r="B207" s="6" t="s">
        <v>217</v>
      </c>
      <c r="C207" s="112" t="s">
        <v>1146</v>
      </c>
    </row>
    <row r="208" spans="1:3" ht="20.100000000000001" customHeight="1">
      <c r="A208" s="11" t="s">
        <v>109</v>
      </c>
      <c r="B208" s="6" t="s">
        <v>8</v>
      </c>
      <c r="C208" s="6" t="s">
        <v>263</v>
      </c>
    </row>
    <row r="209" spans="1:7" ht="20.100000000000001" customHeight="1">
      <c r="A209" s="11" t="s">
        <v>137</v>
      </c>
      <c r="B209" s="6" t="s">
        <v>217</v>
      </c>
      <c r="C209" s="6" t="s">
        <v>333</v>
      </c>
    </row>
    <row r="210" spans="1:7" ht="20.100000000000001" customHeight="1">
      <c r="A210" s="3" t="s">
        <v>51</v>
      </c>
      <c r="B210" s="6" t="s">
        <v>5</v>
      </c>
      <c r="C210" s="6" t="s">
        <v>352</v>
      </c>
    </row>
    <row r="211" spans="1:7" ht="20.100000000000001" customHeight="1">
      <c r="A211" s="10" t="s">
        <v>107</v>
      </c>
      <c r="B211" s="5" t="s">
        <v>6</v>
      </c>
      <c r="C211" s="6" t="s">
        <v>354</v>
      </c>
      <c r="E211" s="16"/>
      <c r="F211" s="16"/>
      <c r="G211" s="16"/>
    </row>
    <row r="212" spans="1:7" ht="20.100000000000001" customHeight="1">
      <c r="A212" s="8" t="s">
        <v>92</v>
      </c>
      <c r="B212" s="6" t="s">
        <v>5</v>
      </c>
      <c r="C212" s="6" t="s">
        <v>377</v>
      </c>
      <c r="E212" s="16"/>
      <c r="F212" s="16"/>
      <c r="G212" s="16"/>
    </row>
    <row r="213" spans="1:7" ht="20.100000000000001" customHeight="1">
      <c r="A213" s="11" t="s">
        <v>160</v>
      </c>
      <c r="B213" s="6" t="s">
        <v>5</v>
      </c>
      <c r="C213" s="6" t="s">
        <v>400</v>
      </c>
      <c r="E213" s="16"/>
      <c r="F213" s="16"/>
      <c r="G213" s="16"/>
    </row>
    <row r="214" spans="1:7" ht="20.100000000000001" customHeight="1">
      <c r="A214" s="3" t="s">
        <v>418</v>
      </c>
      <c r="B214" s="6" t="s">
        <v>5</v>
      </c>
      <c r="C214" s="6" t="s">
        <v>419</v>
      </c>
    </row>
    <row r="215" spans="1:7" ht="20.100000000000001" customHeight="1">
      <c r="A215" s="11" t="s">
        <v>159</v>
      </c>
      <c r="B215" s="6" t="s">
        <v>7</v>
      </c>
      <c r="C215" s="6" t="s">
        <v>393</v>
      </c>
    </row>
    <row r="216" spans="1:7" ht="20.100000000000001" customHeight="1">
      <c r="A216" s="14" t="s">
        <v>220</v>
      </c>
      <c r="B216" s="6" t="s">
        <v>6</v>
      </c>
      <c r="C216" s="6" t="s">
        <v>221</v>
      </c>
    </row>
    <row r="217" spans="1:7" ht="20.100000000000001" customHeight="1">
      <c r="A217" s="11" t="s">
        <v>111</v>
      </c>
      <c r="B217" s="6" t="s">
        <v>8</v>
      </c>
      <c r="C217" s="6" t="s">
        <v>265</v>
      </c>
    </row>
    <row r="218" spans="1:7" ht="20.100000000000001" customHeight="1">
      <c r="A218" s="3" t="s">
        <v>1149</v>
      </c>
      <c r="B218" s="6" t="s">
        <v>1150</v>
      </c>
      <c r="C218" s="3" t="s">
        <v>1151</v>
      </c>
    </row>
    <row r="219" spans="1:7" s="16" customFormat="1" ht="20.100000000000001" customHeight="1">
      <c r="A219" s="3" t="s">
        <v>428</v>
      </c>
      <c r="B219" s="6" t="s">
        <v>217</v>
      </c>
      <c r="C219" s="6" t="s">
        <v>429</v>
      </c>
      <c r="E219" s="2"/>
      <c r="F219" s="2"/>
      <c r="G219" s="2"/>
    </row>
    <row r="220" spans="1:7" s="16" customFormat="1" ht="20.100000000000001" customHeight="1">
      <c r="A220" s="3" t="s">
        <v>425</v>
      </c>
      <c r="B220" s="6" t="s">
        <v>217</v>
      </c>
      <c r="C220" s="6" t="s">
        <v>424</v>
      </c>
      <c r="E220" s="2"/>
      <c r="F220" s="2"/>
      <c r="G220" s="2"/>
    </row>
    <row r="221" spans="1:7" s="16" customFormat="1" ht="20.100000000000001" customHeight="1">
      <c r="A221" s="3" t="s">
        <v>205</v>
      </c>
      <c r="B221" s="5" t="s">
        <v>116</v>
      </c>
      <c r="C221" s="5" t="s">
        <v>267</v>
      </c>
      <c r="E221" s="2"/>
      <c r="F221" s="2"/>
      <c r="G221" s="2"/>
    </row>
    <row r="222" spans="1:7" ht="20.100000000000001" customHeight="1">
      <c r="A222" s="3" t="s">
        <v>411</v>
      </c>
      <c r="B222" s="6" t="s">
        <v>446</v>
      </c>
      <c r="C222" s="112" t="s">
        <v>1148</v>
      </c>
    </row>
    <row r="223" spans="1:7" ht="20.100000000000001" customHeight="1">
      <c r="A223" s="3" t="s">
        <v>1082</v>
      </c>
      <c r="B223" s="6" t="s">
        <v>1073</v>
      </c>
      <c r="C223" s="6" t="s">
        <v>1074</v>
      </c>
    </row>
    <row r="224" spans="1:7" ht="20.100000000000001" customHeight="1">
      <c r="A224" s="11" t="s">
        <v>110</v>
      </c>
      <c r="B224" s="6" t="s">
        <v>8</v>
      </c>
      <c r="C224" s="6" t="s">
        <v>264</v>
      </c>
    </row>
    <row r="225" spans="1:7" ht="20.100000000000001" customHeight="1">
      <c r="A225" s="3" t="s">
        <v>409</v>
      </c>
      <c r="B225" s="6" t="s">
        <v>8</v>
      </c>
      <c r="C225" s="6" t="s">
        <v>240</v>
      </c>
    </row>
    <row r="226" spans="1:7" ht="20.100000000000001" customHeight="1">
      <c r="A226" s="3" t="s">
        <v>135</v>
      </c>
      <c r="B226" s="6" t="s">
        <v>8</v>
      </c>
      <c r="C226" s="6" t="s">
        <v>331</v>
      </c>
    </row>
    <row r="227" spans="1:7" ht="20.100000000000001" customHeight="1">
      <c r="A227" s="8" t="s">
        <v>106</v>
      </c>
      <c r="B227" s="5" t="s">
        <v>116</v>
      </c>
      <c r="C227" s="6" t="s">
        <v>353</v>
      </c>
    </row>
    <row r="228" spans="1:7" ht="20.100000000000001" customHeight="1">
      <c r="A228" s="8" t="s">
        <v>1948</v>
      </c>
      <c r="B228" s="6" t="s">
        <v>6</v>
      </c>
      <c r="C228" s="6" t="s">
        <v>254</v>
      </c>
    </row>
    <row r="229" spans="1:7" ht="20.100000000000001" customHeight="1">
      <c r="A229" s="3" t="s">
        <v>57</v>
      </c>
      <c r="B229" s="6" t="s">
        <v>1123</v>
      </c>
      <c r="C229" s="6" t="s">
        <v>283</v>
      </c>
    </row>
    <row r="230" spans="1:7" ht="20.100000000000001" customHeight="1">
      <c r="A230" s="3" t="s">
        <v>1951</v>
      </c>
      <c r="B230" s="6" t="s">
        <v>1952</v>
      </c>
      <c r="C230" s="206" t="s">
        <v>1953</v>
      </c>
    </row>
    <row r="231" spans="1:7" ht="20.100000000000001" customHeight="1">
      <c r="A231" s="205" t="s">
        <v>1941</v>
      </c>
      <c r="B231" s="6" t="s">
        <v>6</v>
      </c>
      <c r="C231" s="6" t="s">
        <v>268</v>
      </c>
    </row>
    <row r="232" spans="1:7" ht="20.100000000000001" customHeight="1">
      <c r="A232" s="3" t="s">
        <v>1938</v>
      </c>
      <c r="B232" s="3" t="s">
        <v>1932</v>
      </c>
      <c r="C232" s="6" t="s">
        <v>1933</v>
      </c>
      <c r="E232" s="204"/>
      <c r="F232" s="204"/>
      <c r="G232" s="204"/>
    </row>
    <row r="233" spans="1:7" ht="20.100000000000001" customHeight="1">
      <c r="A233" s="3" t="s">
        <v>1954</v>
      </c>
      <c r="B233" s="6" t="s">
        <v>441</v>
      </c>
      <c r="C233" s="6" t="s">
        <v>334</v>
      </c>
      <c r="E233" s="204"/>
      <c r="F233" s="204"/>
      <c r="G233" s="204"/>
    </row>
    <row r="234" spans="1:7" ht="20.100000000000001" customHeight="1">
      <c r="A234" s="3" t="s">
        <v>1956</v>
      </c>
      <c r="B234" s="6" t="s">
        <v>1945</v>
      </c>
      <c r="C234" s="6" t="s">
        <v>1946</v>
      </c>
      <c r="E234" s="204"/>
      <c r="F234" s="204"/>
      <c r="G234" s="204"/>
    </row>
    <row r="235" spans="1:7" ht="20.100000000000001" customHeight="1">
      <c r="A235" s="3" t="s">
        <v>152</v>
      </c>
      <c r="B235" s="6" t="s">
        <v>5</v>
      </c>
      <c r="C235" s="6" t="s">
        <v>361</v>
      </c>
      <c r="E235" s="204"/>
      <c r="F235" s="204"/>
      <c r="G235" s="204"/>
    </row>
    <row r="236" spans="1:7" ht="20.100000000000001" customHeight="1">
      <c r="A236" s="11" t="s">
        <v>113</v>
      </c>
      <c r="B236" s="6" t="s">
        <v>217</v>
      </c>
      <c r="C236" s="6" t="s">
        <v>266</v>
      </c>
      <c r="E236" s="204"/>
      <c r="F236" s="204"/>
      <c r="G236" s="204"/>
    </row>
    <row r="237" spans="1:7" ht="20.100000000000001" customHeight="1">
      <c r="A237" s="3" t="s">
        <v>120</v>
      </c>
      <c r="B237" s="6" t="s">
        <v>8</v>
      </c>
      <c r="C237" s="6" t="s">
        <v>299</v>
      </c>
      <c r="E237" s="204"/>
      <c r="F237" s="204"/>
      <c r="G237" s="204"/>
    </row>
    <row r="238" spans="1:7" ht="20.100000000000001" customHeight="1">
      <c r="A238" s="3" t="s">
        <v>56</v>
      </c>
      <c r="B238" s="6" t="s">
        <v>8</v>
      </c>
      <c r="C238" s="6" t="s">
        <v>316</v>
      </c>
      <c r="E238" s="204"/>
      <c r="F238" s="204"/>
      <c r="G238" s="204"/>
    </row>
    <row r="239" spans="1:7" ht="20.100000000000001" customHeight="1">
      <c r="A239" s="205" t="s">
        <v>1960</v>
      </c>
      <c r="B239" s="6" t="s">
        <v>116</v>
      </c>
      <c r="C239" s="6" t="s">
        <v>1959</v>
      </c>
      <c r="E239" s="204"/>
      <c r="F239" s="204"/>
      <c r="G239" s="204"/>
    </row>
    <row r="240" spans="1:7" s="204" customFormat="1" ht="20.100000000000001" customHeight="1">
      <c r="A240" s="205" t="s">
        <v>1898</v>
      </c>
      <c r="B240" s="6" t="s">
        <v>1186</v>
      </c>
      <c r="C240" s="6" t="s">
        <v>1187</v>
      </c>
    </row>
    <row r="241" spans="1:3" s="204" customFormat="1" ht="20.100000000000001" customHeight="1">
      <c r="A241" s="3" t="s">
        <v>146</v>
      </c>
      <c r="B241" s="6" t="s">
        <v>8</v>
      </c>
      <c r="C241" s="6" t="s">
        <v>346</v>
      </c>
    </row>
    <row r="242" spans="1:3" s="204" customFormat="1" ht="20.100000000000001" customHeight="1">
      <c r="A242" s="3" t="s">
        <v>149</v>
      </c>
      <c r="B242" s="6" t="s">
        <v>8</v>
      </c>
      <c r="C242" s="112" t="s">
        <v>1147</v>
      </c>
    </row>
    <row r="243" spans="1:3" s="204" customFormat="1" ht="20.100000000000001" customHeight="1">
      <c r="A243" s="203"/>
      <c r="B243" s="111"/>
    </row>
    <row r="244" spans="1:3" s="204" customFormat="1" ht="20.100000000000001" customHeight="1">
      <c r="A244" s="203"/>
      <c r="B244" s="111"/>
    </row>
    <row r="245" spans="1:3" s="204" customFormat="1" ht="20.100000000000001" customHeight="1">
      <c r="A245" s="203"/>
      <c r="B245" s="111"/>
    </row>
    <row r="246" spans="1:3" s="204" customFormat="1" ht="20.100000000000001" customHeight="1">
      <c r="A246" s="203"/>
      <c r="B246" s="111"/>
    </row>
    <row r="247" spans="1:3" s="204" customFormat="1" ht="20.100000000000001" customHeight="1">
      <c r="A247" s="203"/>
      <c r="B247" s="111"/>
    </row>
    <row r="248" spans="1:3" s="204" customFormat="1" ht="20.100000000000001" customHeight="1">
      <c r="A248" s="203"/>
      <c r="B248" s="111"/>
    </row>
    <row r="249" spans="1:3" s="204" customFormat="1" ht="20.100000000000001" customHeight="1">
      <c r="A249" s="203"/>
      <c r="B249" s="111"/>
    </row>
    <row r="250" spans="1:3" s="204" customFormat="1" ht="20.100000000000001" customHeight="1">
      <c r="A250" s="203"/>
      <c r="B250" s="111"/>
    </row>
    <row r="251" spans="1:3" s="204" customFormat="1" ht="20.100000000000001" customHeight="1">
      <c r="A251" s="203"/>
      <c r="B251" s="111"/>
    </row>
    <row r="252" spans="1:3" s="204" customFormat="1" ht="20.100000000000001" customHeight="1">
      <c r="A252" s="203"/>
      <c r="B252" s="111"/>
    </row>
    <row r="253" spans="1:3" s="204" customFormat="1" ht="20.100000000000001" customHeight="1">
      <c r="A253" s="203"/>
      <c r="B253" s="111"/>
    </row>
    <row r="254" spans="1:3" s="204" customFormat="1" ht="20.100000000000001" customHeight="1">
      <c r="A254" s="203"/>
      <c r="B254" s="111"/>
    </row>
    <row r="255" spans="1:3" s="204" customFormat="1" ht="20.100000000000001" customHeight="1">
      <c r="A255" s="203"/>
      <c r="B255" s="111"/>
    </row>
    <row r="256" spans="1:3" s="204" customFormat="1" ht="20.100000000000001" customHeight="1">
      <c r="A256" s="203"/>
      <c r="B256" s="111"/>
    </row>
    <row r="257" spans="1:2" s="204" customFormat="1" ht="20.100000000000001" customHeight="1">
      <c r="A257" s="203"/>
      <c r="B257" s="111"/>
    </row>
    <row r="258" spans="1:2" s="204" customFormat="1" ht="20.100000000000001" customHeight="1">
      <c r="A258" s="203"/>
      <c r="B258" s="111"/>
    </row>
    <row r="259" spans="1:2" s="204" customFormat="1" ht="20.100000000000001" customHeight="1">
      <c r="A259" s="203"/>
      <c r="B259" s="111"/>
    </row>
    <row r="260" spans="1:2" s="204" customFormat="1" ht="20.100000000000001" customHeight="1">
      <c r="A260" s="203"/>
      <c r="B260" s="111"/>
    </row>
    <row r="261" spans="1:2" s="204" customFormat="1">
      <c r="A261" s="203"/>
      <c r="B261" s="111"/>
    </row>
    <row r="262" spans="1:2" s="204" customFormat="1">
      <c r="A262" s="203"/>
      <c r="B262" s="111"/>
    </row>
    <row r="263" spans="1:2" s="204" customFormat="1">
      <c r="A263" s="203"/>
      <c r="B263" s="111"/>
    </row>
    <row r="264" spans="1:2" s="204" customFormat="1">
      <c r="A264" s="203"/>
      <c r="B264" s="111"/>
    </row>
    <row r="265" spans="1:2" s="204" customFormat="1">
      <c r="A265" s="203"/>
      <c r="B265" s="111"/>
    </row>
    <row r="266" spans="1:2" s="204" customFormat="1">
      <c r="A266" s="203"/>
      <c r="B266" s="111"/>
    </row>
    <row r="267" spans="1:2" s="204" customFormat="1">
      <c r="A267" s="203"/>
      <c r="B267" s="111"/>
    </row>
    <row r="268" spans="1:2" s="204" customFormat="1">
      <c r="A268" s="203"/>
      <c r="B268" s="111"/>
    </row>
    <row r="269" spans="1:2" s="204" customFormat="1">
      <c r="A269" s="203"/>
      <c r="B269" s="111"/>
    </row>
    <row r="270" spans="1:2" s="204" customFormat="1">
      <c r="A270" s="203"/>
      <c r="B270" s="111"/>
    </row>
    <row r="271" spans="1:2" s="204" customFormat="1">
      <c r="A271" s="203"/>
      <c r="B271" s="111"/>
    </row>
    <row r="272" spans="1:2" s="204" customFormat="1">
      <c r="A272" s="203"/>
      <c r="B272" s="111"/>
    </row>
    <row r="273" spans="1:2" s="204" customFormat="1">
      <c r="A273" s="203"/>
      <c r="B273" s="111"/>
    </row>
    <row r="274" spans="1:2" s="204" customFormat="1">
      <c r="A274" s="203"/>
      <c r="B274" s="111"/>
    </row>
    <row r="275" spans="1:2" s="204" customFormat="1">
      <c r="A275" s="203"/>
      <c r="B275" s="111"/>
    </row>
    <row r="276" spans="1:2" s="204" customFormat="1">
      <c r="A276" s="203"/>
      <c r="B276" s="111"/>
    </row>
    <row r="277" spans="1:2" s="204" customFormat="1">
      <c r="A277" s="203"/>
      <c r="B277" s="111"/>
    </row>
    <row r="278" spans="1:2" s="204" customFormat="1">
      <c r="A278" s="203"/>
      <c r="B278" s="111"/>
    </row>
    <row r="279" spans="1:2" s="204" customFormat="1">
      <c r="A279" s="203"/>
      <c r="B279" s="111"/>
    </row>
    <row r="280" spans="1:2" s="204" customFormat="1">
      <c r="A280" s="203"/>
      <c r="B280" s="111"/>
    </row>
    <row r="281" spans="1:2" s="204" customFormat="1">
      <c r="A281" s="203"/>
      <c r="B281" s="111"/>
    </row>
    <row r="282" spans="1:2" s="204" customFormat="1">
      <c r="A282" s="203"/>
      <c r="B282" s="111"/>
    </row>
    <row r="283" spans="1:2" s="204" customFormat="1">
      <c r="A283" s="203"/>
      <c r="B283" s="111"/>
    </row>
    <row r="284" spans="1:2" s="204" customFormat="1">
      <c r="A284" s="203"/>
      <c r="B284" s="111"/>
    </row>
    <row r="285" spans="1:2" s="204" customFormat="1">
      <c r="A285" s="203"/>
      <c r="B285" s="111"/>
    </row>
    <row r="286" spans="1:2" s="204" customFormat="1">
      <c r="A286" s="203"/>
      <c r="B286" s="111"/>
    </row>
    <row r="287" spans="1:2" s="204" customFormat="1">
      <c r="A287" s="203"/>
      <c r="B287" s="111"/>
    </row>
    <row r="288" spans="1:2" s="204" customFormat="1">
      <c r="A288" s="203"/>
      <c r="B288" s="111"/>
    </row>
    <row r="289" spans="1:2" s="204" customFormat="1">
      <c r="A289" s="203"/>
      <c r="B289" s="111"/>
    </row>
    <row r="290" spans="1:2" s="204" customFormat="1">
      <c r="A290" s="203"/>
      <c r="B290" s="111"/>
    </row>
    <row r="291" spans="1:2" s="204" customFormat="1">
      <c r="A291" s="203"/>
      <c r="B291" s="111"/>
    </row>
    <row r="292" spans="1:2" s="204" customFormat="1">
      <c r="A292" s="203"/>
      <c r="B292" s="111"/>
    </row>
    <row r="293" spans="1:2" s="204" customFormat="1">
      <c r="A293" s="203"/>
      <c r="B293" s="111"/>
    </row>
    <row r="294" spans="1:2" s="204" customFormat="1">
      <c r="A294" s="203"/>
      <c r="B294" s="111"/>
    </row>
    <row r="295" spans="1:2" s="204" customFormat="1">
      <c r="A295" s="203"/>
      <c r="B295" s="111"/>
    </row>
    <row r="296" spans="1:2" s="204" customFormat="1">
      <c r="A296" s="203"/>
      <c r="B296" s="111"/>
    </row>
    <row r="297" spans="1:2" s="204" customFormat="1">
      <c r="A297" s="203"/>
      <c r="B297" s="111"/>
    </row>
    <row r="298" spans="1:2" s="204" customFormat="1">
      <c r="A298" s="203"/>
      <c r="B298" s="111"/>
    </row>
    <row r="299" spans="1:2" s="204" customFormat="1">
      <c r="A299" s="203"/>
      <c r="B299" s="111"/>
    </row>
    <row r="300" spans="1:2" s="204" customFormat="1">
      <c r="A300" s="203"/>
      <c r="B300" s="111"/>
    </row>
    <row r="301" spans="1:2" s="204" customFormat="1">
      <c r="A301" s="203"/>
      <c r="B301" s="111"/>
    </row>
    <row r="302" spans="1:2" s="204" customFormat="1">
      <c r="A302" s="203"/>
      <c r="B302" s="111"/>
    </row>
    <row r="303" spans="1:2" s="204" customFormat="1">
      <c r="A303" s="203"/>
      <c r="B303" s="111"/>
    </row>
    <row r="304" spans="1:2" s="204" customFormat="1">
      <c r="A304" s="203"/>
      <c r="B304" s="111"/>
    </row>
    <row r="305" spans="1:2" s="204" customFormat="1">
      <c r="A305" s="203"/>
      <c r="B305" s="111"/>
    </row>
    <row r="306" spans="1:2" s="204" customFormat="1">
      <c r="A306" s="203"/>
      <c r="B306" s="111"/>
    </row>
    <row r="307" spans="1:2" s="204" customFormat="1">
      <c r="A307" s="203"/>
      <c r="B307" s="111"/>
    </row>
    <row r="308" spans="1:2" s="204" customFormat="1">
      <c r="A308" s="203"/>
      <c r="B308" s="111"/>
    </row>
    <row r="309" spans="1:2" s="204" customFormat="1">
      <c r="A309" s="203"/>
      <c r="B309" s="111"/>
    </row>
    <row r="310" spans="1:2" s="204" customFormat="1">
      <c r="A310" s="203"/>
      <c r="B310" s="111"/>
    </row>
    <row r="311" spans="1:2" s="204" customFormat="1">
      <c r="A311" s="203"/>
      <c r="B311" s="111"/>
    </row>
    <row r="312" spans="1:2" s="204" customFormat="1">
      <c r="A312" s="203"/>
      <c r="B312" s="111"/>
    </row>
    <row r="313" spans="1:2" s="204" customFormat="1">
      <c r="A313" s="203"/>
      <c r="B313" s="111"/>
    </row>
    <row r="314" spans="1:2" s="204" customFormat="1">
      <c r="A314" s="203"/>
      <c r="B314" s="111"/>
    </row>
    <row r="315" spans="1:2" s="204" customFormat="1">
      <c r="A315" s="203"/>
      <c r="B315" s="111"/>
    </row>
    <row r="316" spans="1:2" s="204" customFormat="1">
      <c r="A316" s="203"/>
      <c r="B316" s="111"/>
    </row>
    <row r="317" spans="1:2" s="204" customFormat="1">
      <c r="A317" s="203"/>
      <c r="B317" s="111"/>
    </row>
    <row r="318" spans="1:2" s="204" customFormat="1">
      <c r="A318" s="203"/>
      <c r="B318" s="111"/>
    </row>
    <row r="319" spans="1:2" s="204" customFormat="1">
      <c r="A319" s="203"/>
      <c r="B319" s="111"/>
    </row>
    <row r="320" spans="1:2" s="204" customFormat="1">
      <c r="A320" s="203"/>
      <c r="B320" s="111"/>
    </row>
    <row r="321" spans="1:2" s="204" customFormat="1">
      <c r="A321" s="203"/>
      <c r="B321" s="111"/>
    </row>
    <row r="322" spans="1:2" s="204" customFormat="1">
      <c r="A322" s="203"/>
      <c r="B322" s="111"/>
    </row>
    <row r="323" spans="1:2" s="204" customFormat="1">
      <c r="A323" s="203"/>
      <c r="B323" s="111"/>
    </row>
    <row r="324" spans="1:2" s="204" customFormat="1">
      <c r="A324" s="203"/>
      <c r="B324" s="111"/>
    </row>
    <row r="325" spans="1:2" s="204" customFormat="1">
      <c r="A325" s="203"/>
      <c r="B325" s="111"/>
    </row>
    <row r="326" spans="1:2" s="204" customFormat="1">
      <c r="A326" s="203"/>
      <c r="B326" s="111"/>
    </row>
    <row r="327" spans="1:2" s="204" customFormat="1">
      <c r="A327" s="203"/>
      <c r="B327" s="111"/>
    </row>
    <row r="328" spans="1:2" s="204" customFormat="1">
      <c r="A328" s="203"/>
      <c r="B328" s="111"/>
    </row>
    <row r="329" spans="1:2" s="204" customFormat="1">
      <c r="A329" s="203"/>
      <c r="B329" s="111"/>
    </row>
    <row r="330" spans="1:2" s="204" customFormat="1">
      <c r="A330" s="203"/>
      <c r="B330" s="111"/>
    </row>
    <row r="331" spans="1:2" s="204" customFormat="1">
      <c r="A331" s="203"/>
      <c r="B331" s="111"/>
    </row>
    <row r="332" spans="1:2" s="204" customFormat="1">
      <c r="A332" s="203"/>
      <c r="B332" s="111"/>
    </row>
    <row r="333" spans="1:2" s="204" customFormat="1">
      <c r="A333" s="203"/>
      <c r="B333" s="111"/>
    </row>
    <row r="334" spans="1:2" s="204" customFormat="1">
      <c r="A334" s="203"/>
      <c r="B334" s="111"/>
    </row>
    <row r="335" spans="1:2" s="204" customFormat="1">
      <c r="A335" s="203"/>
      <c r="B335" s="111"/>
    </row>
    <row r="336" spans="1:2" s="204" customFormat="1">
      <c r="A336" s="203"/>
      <c r="B336" s="111"/>
    </row>
    <row r="337" spans="1:2" s="204" customFormat="1">
      <c r="A337" s="203"/>
      <c r="B337" s="111"/>
    </row>
    <row r="338" spans="1:2" s="204" customFormat="1">
      <c r="A338" s="203"/>
      <c r="B338" s="111"/>
    </row>
    <row r="339" spans="1:2" s="204" customFormat="1">
      <c r="A339" s="203"/>
      <c r="B339" s="111"/>
    </row>
    <row r="340" spans="1:2" s="204" customFormat="1">
      <c r="A340" s="203"/>
      <c r="B340" s="111"/>
    </row>
    <row r="341" spans="1:2" s="204" customFormat="1">
      <c r="A341" s="203"/>
      <c r="B341" s="111"/>
    </row>
    <row r="342" spans="1:2" s="204" customFormat="1">
      <c r="A342" s="203"/>
      <c r="B342" s="111"/>
    </row>
    <row r="343" spans="1:2" s="204" customFormat="1">
      <c r="A343" s="203"/>
      <c r="B343" s="111"/>
    </row>
    <row r="344" spans="1:2" s="204" customFormat="1">
      <c r="A344" s="203"/>
      <c r="B344" s="111"/>
    </row>
    <row r="345" spans="1:2" s="204" customFormat="1">
      <c r="A345" s="203"/>
      <c r="B345" s="111"/>
    </row>
    <row r="346" spans="1:2" s="204" customFormat="1">
      <c r="A346" s="203"/>
      <c r="B346" s="111"/>
    </row>
    <row r="347" spans="1:2" s="204" customFormat="1">
      <c r="A347" s="203"/>
      <c r="B347" s="111"/>
    </row>
    <row r="348" spans="1:2" s="204" customFormat="1">
      <c r="A348" s="203"/>
      <c r="B348" s="111"/>
    </row>
    <row r="349" spans="1:2" s="204" customFormat="1">
      <c r="A349" s="203"/>
      <c r="B349" s="111"/>
    </row>
    <row r="350" spans="1:2" s="204" customFormat="1">
      <c r="A350" s="203"/>
      <c r="B350" s="111"/>
    </row>
    <row r="351" spans="1:2" s="204" customFormat="1">
      <c r="A351" s="203"/>
      <c r="B351" s="111"/>
    </row>
    <row r="352" spans="1:2" s="204" customFormat="1">
      <c r="A352" s="203"/>
      <c r="B352" s="111"/>
    </row>
    <row r="353" spans="1:2" s="204" customFormat="1">
      <c r="A353" s="203"/>
      <c r="B353" s="111"/>
    </row>
    <row r="354" spans="1:2" s="204" customFormat="1">
      <c r="A354" s="203"/>
      <c r="B354" s="111"/>
    </row>
    <row r="355" spans="1:2" s="204" customFormat="1">
      <c r="A355" s="203"/>
      <c r="B355" s="111"/>
    </row>
    <row r="356" spans="1:2" s="204" customFormat="1">
      <c r="A356" s="203"/>
      <c r="B356" s="111"/>
    </row>
    <row r="357" spans="1:2" s="204" customFormat="1">
      <c r="A357" s="203"/>
      <c r="B357" s="111"/>
    </row>
    <row r="358" spans="1:2" s="204" customFormat="1">
      <c r="A358" s="203"/>
      <c r="B358" s="111"/>
    </row>
    <row r="359" spans="1:2" s="204" customFormat="1">
      <c r="A359" s="203"/>
      <c r="B359" s="111"/>
    </row>
    <row r="360" spans="1:2" s="204" customFormat="1">
      <c r="A360" s="203"/>
      <c r="B360" s="111"/>
    </row>
    <row r="361" spans="1:2" s="204" customFormat="1">
      <c r="A361" s="203"/>
      <c r="B361" s="111"/>
    </row>
    <row r="362" spans="1:2" s="204" customFormat="1">
      <c r="A362" s="203"/>
      <c r="B362" s="111"/>
    </row>
    <row r="363" spans="1:2" s="204" customFormat="1">
      <c r="A363" s="203"/>
      <c r="B363" s="111"/>
    </row>
    <row r="364" spans="1:2" s="204" customFormat="1">
      <c r="A364" s="203"/>
      <c r="B364" s="111"/>
    </row>
    <row r="365" spans="1:2" s="204" customFormat="1">
      <c r="A365" s="203"/>
      <c r="B365" s="111"/>
    </row>
    <row r="366" spans="1:2" s="204" customFormat="1">
      <c r="A366" s="203"/>
      <c r="B366" s="111"/>
    </row>
    <row r="367" spans="1:2" s="204" customFormat="1">
      <c r="A367" s="203"/>
      <c r="B367" s="111"/>
    </row>
    <row r="368" spans="1:2" s="204" customFormat="1">
      <c r="A368" s="203"/>
      <c r="B368" s="111"/>
    </row>
    <row r="369" spans="1:2" s="204" customFormat="1">
      <c r="A369" s="203"/>
      <c r="B369" s="111"/>
    </row>
    <row r="370" spans="1:2" s="204" customFormat="1">
      <c r="A370" s="203"/>
      <c r="B370" s="111"/>
    </row>
    <row r="371" spans="1:2" s="204" customFormat="1">
      <c r="A371" s="203"/>
      <c r="B371" s="111"/>
    </row>
    <row r="372" spans="1:2" s="204" customFormat="1">
      <c r="A372" s="203"/>
      <c r="B372" s="111"/>
    </row>
    <row r="373" spans="1:2" s="204" customFormat="1">
      <c r="A373" s="203"/>
      <c r="B373" s="111"/>
    </row>
    <row r="374" spans="1:2" s="204" customFormat="1">
      <c r="A374" s="203"/>
      <c r="B374" s="111"/>
    </row>
    <row r="375" spans="1:2" s="204" customFormat="1">
      <c r="A375" s="203"/>
      <c r="B375" s="111"/>
    </row>
    <row r="376" spans="1:2" s="204" customFormat="1">
      <c r="A376" s="203"/>
      <c r="B376" s="111"/>
    </row>
    <row r="377" spans="1:2" s="204" customFormat="1">
      <c r="A377" s="203"/>
      <c r="B377" s="111"/>
    </row>
    <row r="378" spans="1:2" s="204" customFormat="1">
      <c r="A378" s="203"/>
      <c r="B378" s="111"/>
    </row>
    <row r="379" spans="1:2" s="204" customFormat="1">
      <c r="A379" s="203"/>
      <c r="B379" s="111"/>
    </row>
    <row r="380" spans="1:2" s="204" customFormat="1">
      <c r="A380" s="203"/>
      <c r="B380" s="111"/>
    </row>
    <row r="381" spans="1:2" s="204" customFormat="1">
      <c r="A381" s="203"/>
      <c r="B381" s="111"/>
    </row>
    <row r="382" spans="1:2" s="204" customFormat="1">
      <c r="A382" s="203"/>
      <c r="B382" s="111"/>
    </row>
    <row r="383" spans="1:2" s="204" customFormat="1">
      <c r="A383" s="203"/>
      <c r="B383" s="111"/>
    </row>
    <row r="384" spans="1:2" s="204" customFormat="1">
      <c r="A384" s="203"/>
      <c r="B384" s="111"/>
    </row>
    <row r="385" spans="1:2" s="204" customFormat="1">
      <c r="A385" s="203"/>
      <c r="B385" s="111"/>
    </row>
    <row r="386" spans="1:2" s="204" customFormat="1">
      <c r="A386" s="203"/>
      <c r="B386" s="111"/>
    </row>
    <row r="387" spans="1:2" s="204" customFormat="1">
      <c r="A387" s="203"/>
      <c r="B387" s="111"/>
    </row>
    <row r="388" spans="1:2" s="204" customFormat="1">
      <c r="A388" s="203"/>
      <c r="B388" s="111"/>
    </row>
    <row r="389" spans="1:2" s="204" customFormat="1">
      <c r="A389" s="203"/>
      <c r="B389" s="111"/>
    </row>
    <row r="390" spans="1:2" s="204" customFormat="1">
      <c r="A390" s="203"/>
      <c r="B390" s="111"/>
    </row>
    <row r="391" spans="1:2" s="204" customFormat="1">
      <c r="A391" s="203"/>
      <c r="B391" s="111"/>
    </row>
    <row r="392" spans="1:2" s="204" customFormat="1">
      <c r="A392" s="203"/>
      <c r="B392" s="111"/>
    </row>
    <row r="393" spans="1:2" s="204" customFormat="1">
      <c r="A393" s="203"/>
      <c r="B393" s="111"/>
    </row>
    <row r="394" spans="1:2" s="204" customFormat="1">
      <c r="A394" s="203"/>
      <c r="B394" s="111"/>
    </row>
    <row r="395" spans="1:2" s="204" customFormat="1">
      <c r="A395" s="203"/>
      <c r="B395" s="111"/>
    </row>
    <row r="396" spans="1:2" s="204" customFormat="1">
      <c r="A396" s="203"/>
      <c r="B396" s="111"/>
    </row>
    <row r="397" spans="1:2" s="204" customFormat="1">
      <c r="A397" s="203"/>
      <c r="B397" s="111"/>
    </row>
    <row r="398" spans="1:2" s="204" customFormat="1">
      <c r="A398" s="203"/>
      <c r="B398" s="111"/>
    </row>
    <row r="399" spans="1:2" s="204" customFormat="1">
      <c r="A399" s="203"/>
      <c r="B399" s="111"/>
    </row>
    <row r="400" spans="1:2" s="204" customFormat="1">
      <c r="A400" s="203"/>
      <c r="B400" s="111"/>
    </row>
    <row r="401" spans="1:2" s="204" customFormat="1">
      <c r="A401" s="203"/>
      <c r="B401" s="111"/>
    </row>
    <row r="402" spans="1:2" s="204" customFormat="1">
      <c r="A402" s="203"/>
      <c r="B402" s="111"/>
    </row>
    <row r="403" spans="1:2" s="204" customFormat="1">
      <c r="A403" s="203"/>
      <c r="B403" s="111"/>
    </row>
    <row r="404" spans="1:2" s="204" customFormat="1">
      <c r="A404" s="203"/>
      <c r="B404" s="111"/>
    </row>
    <row r="405" spans="1:2" s="204" customFormat="1">
      <c r="A405" s="203"/>
      <c r="B405" s="111"/>
    </row>
    <row r="406" spans="1:2" s="204" customFormat="1">
      <c r="A406" s="203"/>
      <c r="B406" s="111"/>
    </row>
    <row r="407" spans="1:2" s="204" customFormat="1">
      <c r="A407" s="203"/>
      <c r="B407" s="111"/>
    </row>
    <row r="408" spans="1:2" s="204" customFormat="1">
      <c r="A408" s="203"/>
      <c r="B408" s="111"/>
    </row>
    <row r="409" spans="1:2" s="204" customFormat="1">
      <c r="A409" s="203"/>
      <c r="B409" s="111"/>
    </row>
    <row r="410" spans="1:2" s="204" customFormat="1">
      <c r="A410" s="203"/>
      <c r="B410" s="111"/>
    </row>
    <row r="411" spans="1:2" s="204" customFormat="1">
      <c r="A411" s="203"/>
      <c r="B411" s="111"/>
    </row>
    <row r="412" spans="1:2" s="204" customFormat="1">
      <c r="A412" s="203"/>
      <c r="B412" s="111"/>
    </row>
    <row r="413" spans="1:2" s="204" customFormat="1">
      <c r="A413" s="203"/>
      <c r="B413" s="111"/>
    </row>
    <row r="414" spans="1:2" s="204" customFormat="1">
      <c r="A414" s="203"/>
      <c r="B414" s="111"/>
    </row>
    <row r="415" spans="1:2" s="204" customFormat="1">
      <c r="A415" s="203"/>
      <c r="B415" s="111"/>
    </row>
    <row r="416" spans="1:2" s="204" customFormat="1">
      <c r="A416" s="203"/>
      <c r="B416" s="111"/>
    </row>
    <row r="417" spans="1:2" s="204" customFormat="1">
      <c r="A417" s="203"/>
      <c r="B417" s="111"/>
    </row>
    <row r="418" spans="1:2" s="204" customFormat="1">
      <c r="A418" s="203"/>
      <c r="B418" s="111"/>
    </row>
    <row r="419" spans="1:2" s="204" customFormat="1">
      <c r="A419" s="203"/>
      <c r="B419" s="111"/>
    </row>
    <row r="420" spans="1:2" s="204" customFormat="1">
      <c r="A420" s="203"/>
      <c r="B420" s="111"/>
    </row>
    <row r="421" spans="1:2" s="204" customFormat="1">
      <c r="A421" s="203"/>
      <c r="B421" s="111"/>
    </row>
    <row r="422" spans="1:2" s="204" customFormat="1">
      <c r="A422" s="203"/>
      <c r="B422" s="111"/>
    </row>
    <row r="423" spans="1:2" s="204" customFormat="1">
      <c r="A423" s="203"/>
      <c r="B423" s="111"/>
    </row>
    <row r="424" spans="1:2" s="204" customFormat="1">
      <c r="A424" s="203"/>
      <c r="B424" s="111"/>
    </row>
    <row r="425" spans="1:2" s="204" customFormat="1">
      <c r="A425" s="203"/>
      <c r="B425" s="111"/>
    </row>
    <row r="426" spans="1:2" s="204" customFormat="1">
      <c r="A426" s="203"/>
      <c r="B426" s="111"/>
    </row>
    <row r="427" spans="1:2" s="204" customFormat="1">
      <c r="A427" s="203"/>
      <c r="B427" s="111"/>
    </row>
    <row r="428" spans="1:2" s="204" customFormat="1">
      <c r="A428" s="203"/>
      <c r="B428" s="111"/>
    </row>
    <row r="429" spans="1:2" s="204" customFormat="1">
      <c r="A429" s="203"/>
      <c r="B429" s="111"/>
    </row>
    <row r="430" spans="1:2" s="204" customFormat="1">
      <c r="A430" s="203"/>
      <c r="B430" s="111"/>
    </row>
    <row r="431" spans="1:2" s="204" customFormat="1">
      <c r="A431" s="203"/>
      <c r="B431" s="111"/>
    </row>
    <row r="432" spans="1:2" s="204" customFormat="1">
      <c r="A432" s="203"/>
      <c r="B432" s="111"/>
    </row>
    <row r="433" spans="1:7" s="204" customFormat="1">
      <c r="A433" s="203"/>
      <c r="B433" s="111"/>
    </row>
    <row r="434" spans="1:7" s="204" customFormat="1">
      <c r="A434" s="203"/>
      <c r="B434" s="111"/>
    </row>
    <row r="435" spans="1:7" s="204" customFormat="1">
      <c r="A435" s="203"/>
      <c r="B435" s="111"/>
    </row>
    <row r="436" spans="1:7" s="204" customFormat="1">
      <c r="A436" s="203"/>
      <c r="B436" s="111"/>
    </row>
    <row r="437" spans="1:7" s="204" customFormat="1">
      <c r="A437" s="203"/>
      <c r="B437" s="111"/>
    </row>
    <row r="438" spans="1:7" s="204" customFormat="1">
      <c r="A438" s="203"/>
      <c r="B438" s="111"/>
    </row>
    <row r="439" spans="1:7" s="204" customFormat="1">
      <c r="A439" s="203"/>
      <c r="B439" s="111"/>
    </row>
    <row r="440" spans="1:7" s="204" customFormat="1">
      <c r="A440" s="203"/>
      <c r="B440" s="111"/>
    </row>
    <row r="441" spans="1:7" s="204" customFormat="1">
      <c r="A441" s="203"/>
      <c r="B441" s="111"/>
    </row>
    <row r="442" spans="1:7" s="204" customFormat="1">
      <c r="A442" s="203"/>
      <c r="B442" s="111"/>
      <c r="E442" s="2"/>
      <c r="F442" s="2"/>
      <c r="G442" s="2"/>
    </row>
    <row r="443" spans="1:7" s="204" customFormat="1">
      <c r="A443" s="203"/>
      <c r="B443" s="111"/>
      <c r="E443" s="2"/>
      <c r="F443" s="2"/>
      <c r="G443" s="2"/>
    </row>
    <row r="444" spans="1:7" s="204" customFormat="1">
      <c r="A444" s="203"/>
      <c r="B444" s="111"/>
      <c r="E444" s="2"/>
      <c r="F444" s="2"/>
      <c r="G444" s="2"/>
    </row>
    <row r="445" spans="1:7" s="204" customFormat="1">
      <c r="A445" s="203"/>
      <c r="B445" s="111"/>
      <c r="E445" s="2"/>
      <c r="F445" s="2"/>
      <c r="G445" s="2"/>
    </row>
    <row r="446" spans="1:7" s="204" customFormat="1">
      <c r="A446" s="203"/>
      <c r="B446" s="111"/>
      <c r="E446" s="2"/>
      <c r="F446" s="2"/>
      <c r="G446" s="2"/>
    </row>
    <row r="447" spans="1:7" s="204" customFormat="1">
      <c r="A447" s="203"/>
      <c r="B447" s="111"/>
      <c r="E447" s="2"/>
      <c r="F447" s="2"/>
      <c r="G447" s="2"/>
    </row>
    <row r="448" spans="1:7" s="204" customFormat="1">
      <c r="A448" s="203"/>
      <c r="B448" s="111"/>
      <c r="E448" s="2"/>
      <c r="F448" s="2"/>
      <c r="G448" s="2"/>
    </row>
    <row r="449" spans="1:7" s="204" customFormat="1">
      <c r="A449" s="203"/>
      <c r="B449" s="111"/>
      <c r="E449" s="2"/>
      <c r="F449" s="2"/>
      <c r="G449" s="2"/>
    </row>
  </sheetData>
  <autoFilter ref="A1:C242" xr:uid="{00000000-0009-0000-0000-000003000000}"/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3A120-BAAE-4857-8C4E-6E30D20C7AB6}">
  <dimension ref="A1:O7"/>
  <sheetViews>
    <sheetView workbookViewId="0">
      <selection activeCell="K23" sqref="K23"/>
    </sheetView>
  </sheetViews>
  <sheetFormatPr defaultRowHeight="16.5"/>
  <cols>
    <col min="1" max="1" width="9" style="215"/>
    <col min="2" max="2" width="25.25" customWidth="1"/>
    <col min="3" max="3" width="11.625" bestFit="1" customWidth="1"/>
    <col min="4" max="4" width="19.5" bestFit="1" customWidth="1"/>
    <col min="5" max="5" width="12.125" bestFit="1" customWidth="1"/>
    <col min="6" max="6" width="11.875" bestFit="1" customWidth="1"/>
    <col min="7" max="9" width="11.875" customWidth="1"/>
    <col min="10" max="10" width="13.5" bestFit="1" customWidth="1"/>
    <col min="11" max="11" width="63.125" customWidth="1"/>
    <col min="12" max="12" width="9.125"/>
    <col min="13" max="13" width="9.625" bestFit="1" customWidth="1"/>
    <col min="14" max="14" width="10.625" customWidth="1"/>
    <col min="15" max="15" width="18.875" customWidth="1"/>
  </cols>
  <sheetData>
    <row r="1" spans="1:15" ht="17.25" thickBot="1">
      <c r="B1" s="210" t="s">
        <v>0</v>
      </c>
      <c r="C1" s="211" t="s">
        <v>3</v>
      </c>
      <c r="D1" s="211" t="s">
        <v>0</v>
      </c>
      <c r="E1" s="211" t="s">
        <v>1</v>
      </c>
      <c r="F1" s="211" t="s">
        <v>2</v>
      </c>
      <c r="G1" s="211" t="s">
        <v>211</v>
      </c>
      <c r="H1" s="211" t="s">
        <v>212</v>
      </c>
      <c r="I1" s="211" t="s">
        <v>213</v>
      </c>
      <c r="J1" s="212" t="s">
        <v>4</v>
      </c>
      <c r="K1" s="213" t="s">
        <v>204</v>
      </c>
      <c r="L1" s="213" t="s">
        <v>234</v>
      </c>
      <c r="M1" s="213" t="s">
        <v>431</v>
      </c>
      <c r="N1" s="212" t="s">
        <v>1957</v>
      </c>
      <c r="O1" s="214" t="s">
        <v>1164</v>
      </c>
    </row>
    <row r="2" spans="1:15" s="215" customFormat="1">
      <c r="A2" s="215">
        <v>2026</v>
      </c>
      <c r="B2" s="227" t="s">
        <v>1975</v>
      </c>
      <c r="C2" s="227" t="s">
        <v>1929</v>
      </c>
      <c r="D2" s="227" t="s">
        <v>1968</v>
      </c>
      <c r="E2" s="227" t="s">
        <v>1976</v>
      </c>
      <c r="F2" s="227" t="s">
        <v>442</v>
      </c>
      <c r="G2" s="227" t="s">
        <v>214</v>
      </c>
      <c r="H2" s="227" t="s">
        <v>215</v>
      </c>
      <c r="I2" s="227" t="s">
        <v>1979</v>
      </c>
      <c r="J2" s="228"/>
      <c r="K2" s="229" t="s">
        <v>1978</v>
      </c>
      <c r="L2" s="227"/>
      <c r="M2" s="227"/>
      <c r="N2" s="228"/>
      <c r="O2" s="227" t="s">
        <v>1977</v>
      </c>
    </row>
    <row r="3" spans="1:15">
      <c r="B3" s="216" t="s">
        <v>173</v>
      </c>
      <c r="C3" s="217" t="s">
        <v>1929</v>
      </c>
      <c r="D3" s="216" t="s">
        <v>174</v>
      </c>
      <c r="E3" s="218" t="s">
        <v>164</v>
      </c>
      <c r="F3" s="218" t="s">
        <v>6</v>
      </c>
      <c r="G3" s="218" t="s">
        <v>214</v>
      </c>
      <c r="H3" s="218" t="s">
        <v>215</v>
      </c>
      <c r="I3" s="218" t="s">
        <v>248</v>
      </c>
      <c r="J3" s="219">
        <v>2600000</v>
      </c>
      <c r="K3" s="218" t="s">
        <v>312</v>
      </c>
      <c r="L3" s="218" t="s">
        <v>235</v>
      </c>
      <c r="M3" s="218" t="s">
        <v>432</v>
      </c>
      <c r="N3" s="220" t="s">
        <v>1958</v>
      </c>
      <c r="O3" s="217"/>
    </row>
    <row r="4" spans="1:15">
      <c r="B4" s="218" t="s">
        <v>1943</v>
      </c>
      <c r="C4" s="217" t="s">
        <v>1929</v>
      </c>
      <c r="D4" s="221" t="s">
        <v>100</v>
      </c>
      <c r="E4" s="217" t="s">
        <v>75</v>
      </c>
      <c r="F4" s="217" t="s">
        <v>6</v>
      </c>
      <c r="G4" s="217" t="s">
        <v>247</v>
      </c>
      <c r="H4" s="217" t="s">
        <v>215</v>
      </c>
      <c r="I4" s="217" t="s">
        <v>248</v>
      </c>
      <c r="J4" s="222">
        <v>5200000</v>
      </c>
      <c r="K4" s="217" t="s">
        <v>403</v>
      </c>
      <c r="L4" s="217" t="s">
        <v>235</v>
      </c>
      <c r="M4" s="217" t="s">
        <v>432</v>
      </c>
      <c r="N4" s="220" t="s">
        <v>1958</v>
      </c>
      <c r="O4" s="217"/>
    </row>
    <row r="5" spans="1:15">
      <c r="B5" s="218" t="s">
        <v>181</v>
      </c>
      <c r="C5" s="217" t="s">
        <v>1929</v>
      </c>
      <c r="D5" s="218" t="s">
        <v>182</v>
      </c>
      <c r="E5" s="218" t="s">
        <v>164</v>
      </c>
      <c r="F5" s="218" t="s">
        <v>8</v>
      </c>
      <c r="G5" s="218" t="s">
        <v>243</v>
      </c>
      <c r="H5" s="218" t="s">
        <v>243</v>
      </c>
      <c r="I5" s="218" t="s">
        <v>244</v>
      </c>
      <c r="J5" s="219">
        <v>0</v>
      </c>
      <c r="K5" s="218" t="s">
        <v>362</v>
      </c>
      <c r="L5" s="218" t="s">
        <v>235</v>
      </c>
      <c r="M5" s="218" t="s">
        <v>432</v>
      </c>
      <c r="N5" s="220" t="s">
        <v>1958</v>
      </c>
      <c r="O5" s="217" t="s">
        <v>1947</v>
      </c>
    </row>
    <row r="6" spans="1:15">
      <c r="B6" s="223" t="s">
        <v>143</v>
      </c>
      <c r="C6" s="217" t="s">
        <v>1130</v>
      </c>
      <c r="D6" s="224" t="s">
        <v>144</v>
      </c>
      <c r="E6" s="217" t="s">
        <v>226</v>
      </c>
      <c r="F6" s="217" t="s">
        <v>6</v>
      </c>
      <c r="G6" s="217" t="s">
        <v>215</v>
      </c>
      <c r="H6" s="217" t="s">
        <v>247</v>
      </c>
      <c r="I6" s="217" t="s">
        <v>252</v>
      </c>
      <c r="J6" s="222">
        <v>3000000</v>
      </c>
      <c r="K6" s="218" t="s">
        <v>1131</v>
      </c>
      <c r="L6" s="217" t="s">
        <v>235</v>
      </c>
      <c r="M6" s="217" t="s">
        <v>432</v>
      </c>
      <c r="N6" s="225" t="s">
        <v>1958</v>
      </c>
      <c r="O6" s="217"/>
    </row>
    <row r="7" spans="1:15">
      <c r="B7" s="218" t="s">
        <v>33</v>
      </c>
      <c r="C7" s="217" t="s">
        <v>1130</v>
      </c>
      <c r="D7" s="221" t="s">
        <v>34</v>
      </c>
      <c r="E7" s="226" t="s">
        <v>10</v>
      </c>
      <c r="F7" s="217" t="s">
        <v>6</v>
      </c>
      <c r="G7" s="217" t="s">
        <v>247</v>
      </c>
      <c r="H7" s="217" t="s">
        <v>247</v>
      </c>
      <c r="I7" s="217" t="str">
        <f t="shared" ref="I7" si="0">G7&amp;H7</f>
        <v>AA</v>
      </c>
      <c r="J7" s="222">
        <v>10000000</v>
      </c>
      <c r="K7" s="217" t="s">
        <v>310</v>
      </c>
      <c r="L7" s="217" t="s">
        <v>236</v>
      </c>
      <c r="M7" s="217" t="s">
        <v>432</v>
      </c>
      <c r="N7" s="225">
        <v>2</v>
      </c>
      <c r="O7" s="217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B1:CU86"/>
  <sheetViews>
    <sheetView showGridLines="0" zoomScale="90" zoomScaleNormal="90" workbookViewId="0">
      <selection activeCell="M22" sqref="M22"/>
    </sheetView>
  </sheetViews>
  <sheetFormatPr defaultRowHeight="16.5"/>
  <cols>
    <col min="2" max="20" width="9" customWidth="1"/>
    <col min="21" max="21" width="11.125" customWidth="1"/>
    <col min="22" max="22" width="24.25" customWidth="1"/>
    <col min="23" max="23" width="10.875" customWidth="1"/>
    <col min="24" max="27" width="9" customWidth="1"/>
    <col min="28" max="28" width="11.125" customWidth="1"/>
    <col min="29" max="29" width="24.25" customWidth="1"/>
    <col min="30" max="30" width="10.875" customWidth="1"/>
    <col min="31" max="31" width="9.375" customWidth="1"/>
    <col min="32" max="34" width="9" customWidth="1"/>
    <col min="35" max="35" width="11.125" customWidth="1"/>
    <col min="36" max="36" width="24.25" customWidth="1"/>
    <col min="37" max="37" width="10.875" customWidth="1"/>
    <col min="38" max="39" width="9" customWidth="1"/>
    <col min="40" max="40" width="27" customWidth="1"/>
    <col min="41" max="41" width="11.875" customWidth="1"/>
    <col min="42" max="42" width="11.75" customWidth="1"/>
    <col min="43" max="43" width="23.875" customWidth="1"/>
    <col min="44" max="44" width="11.875" customWidth="1"/>
    <col min="45" max="48" width="9" customWidth="1"/>
    <col min="49" max="49" width="10.75" customWidth="1"/>
    <col min="50" max="50" width="26.875" customWidth="1"/>
    <col min="51" max="51" width="11.875" style="74" customWidth="1"/>
    <col min="52" max="55" width="9" customWidth="1"/>
    <col min="56" max="56" width="10.75" customWidth="1"/>
    <col min="57" max="57" width="26.75" customWidth="1"/>
    <col min="58" max="58" width="11.875" style="74" customWidth="1"/>
    <col min="59" max="60" width="9" customWidth="1"/>
    <col min="61" max="61" width="27.125" customWidth="1"/>
    <col min="62" max="62" width="11.875" style="74" customWidth="1"/>
    <col min="63" max="63" width="9" customWidth="1"/>
    <col min="64" max="64" width="27" customWidth="1"/>
    <col min="65" max="65" width="12.125" style="74" customWidth="1"/>
    <col min="66" max="66" width="9" customWidth="1"/>
    <col min="67" max="67" width="10.875" customWidth="1"/>
    <col min="68" max="68" width="26.75" customWidth="1"/>
    <col min="69" max="69" width="11.875" style="74" customWidth="1"/>
    <col min="70" max="70" width="12" customWidth="1"/>
    <col min="71" max="71" width="27" customWidth="1"/>
    <col min="72" max="72" width="12.125" style="74" customWidth="1"/>
    <col min="73" max="73" width="9" customWidth="1"/>
    <col min="74" max="74" width="11.125" customWidth="1"/>
    <col min="75" max="75" width="27.125" customWidth="1"/>
    <col min="76" max="76" width="12.125" style="74" customWidth="1"/>
    <col min="77" max="77" width="10.625" customWidth="1"/>
    <col min="78" max="78" width="27" customWidth="1"/>
    <col min="79" max="79" width="11.875" style="74" customWidth="1"/>
    <col min="80" max="81" width="9" customWidth="1"/>
    <col min="82" max="82" width="14.125" customWidth="1"/>
    <col min="83" max="83" width="12.5" customWidth="1"/>
    <col min="84" max="84" width="9" customWidth="1"/>
    <col min="85" max="85" width="16.375" customWidth="1"/>
    <col min="86" max="86" width="16.125" style="74" customWidth="1"/>
    <col min="87" max="87" width="9" customWidth="1"/>
    <col min="88" max="88" width="19.375" customWidth="1"/>
    <col min="89" max="89" width="15.625" style="74" customWidth="1"/>
    <col min="90" max="90" width="9.125" customWidth="1"/>
    <col min="91" max="91" width="17.625" customWidth="1"/>
    <col min="92" max="92" width="17.625" style="74" customWidth="1"/>
    <col min="94" max="94" width="9.875" customWidth="1"/>
    <col min="95" max="95" width="15.875" customWidth="1"/>
    <col min="96" max="96" width="16.5" style="74" customWidth="1"/>
    <col min="97" max="97" width="10.125" customWidth="1"/>
    <col min="98" max="98" width="14.875" customWidth="1"/>
    <col min="99" max="99" width="24.125" style="74" customWidth="1"/>
  </cols>
  <sheetData>
    <row r="1" spans="2:99">
      <c r="S1" s="241" t="s">
        <v>440</v>
      </c>
      <c r="T1" s="241"/>
      <c r="V1" s="241" t="s">
        <v>440</v>
      </c>
      <c r="W1" s="241"/>
      <c r="Z1" s="241" t="s">
        <v>440</v>
      </c>
      <c r="AA1" s="241"/>
      <c r="AC1" s="241" t="s">
        <v>440</v>
      </c>
      <c r="AD1" s="241"/>
      <c r="AG1" s="241" t="s">
        <v>632</v>
      </c>
      <c r="AH1" s="241"/>
      <c r="AJ1" s="241" t="s">
        <v>632</v>
      </c>
      <c r="AK1" s="241"/>
      <c r="AN1" s="241" t="s">
        <v>632</v>
      </c>
      <c r="AO1" s="241"/>
      <c r="AQ1" s="241" t="s">
        <v>632</v>
      </c>
      <c r="AR1" s="241"/>
      <c r="AU1" s="241" t="s">
        <v>632</v>
      </c>
      <c r="AV1" s="241"/>
      <c r="AX1" s="241" t="s">
        <v>632</v>
      </c>
      <c r="AY1" s="241"/>
      <c r="BA1" s="241" t="s">
        <v>632</v>
      </c>
      <c r="BB1" s="241"/>
      <c r="BE1" s="241" t="s">
        <v>632</v>
      </c>
      <c r="BF1" s="241"/>
      <c r="BI1" s="241" t="s">
        <v>632</v>
      </c>
      <c r="BJ1" s="241"/>
      <c r="BL1" s="241" t="s">
        <v>632</v>
      </c>
      <c r="BM1" s="241"/>
      <c r="BP1" s="241" t="s">
        <v>632</v>
      </c>
      <c r="BQ1" s="241"/>
      <c r="BS1" s="241" t="s">
        <v>632</v>
      </c>
      <c r="BT1" s="241"/>
      <c r="BW1" s="241" t="s">
        <v>632</v>
      </c>
      <c r="BX1" s="241"/>
      <c r="BZ1" s="241" t="s">
        <v>632</v>
      </c>
      <c r="CA1" s="241"/>
      <c r="CD1" s="241" t="s">
        <v>632</v>
      </c>
      <c r="CE1" s="241"/>
      <c r="CG1" s="241" t="s">
        <v>632</v>
      </c>
      <c r="CH1" s="241"/>
      <c r="CJ1" s="241" t="s">
        <v>632</v>
      </c>
      <c r="CK1" s="241"/>
      <c r="CM1" s="241" t="s">
        <v>632</v>
      </c>
      <c r="CN1" s="241"/>
      <c r="CQ1" s="241" t="s">
        <v>440</v>
      </c>
      <c r="CR1" s="241"/>
      <c r="CT1" s="241" t="s">
        <v>440</v>
      </c>
      <c r="CU1" s="241"/>
    </row>
    <row r="2" spans="2:99">
      <c r="S2" t="s">
        <v>116</v>
      </c>
      <c r="T2" s="17">
        <f>COUNTIF(T10:T166,"단독샵")</f>
        <v>0</v>
      </c>
      <c r="V2" t="s">
        <v>116</v>
      </c>
      <c r="W2" s="17">
        <f>COUNTIF(W10:W166,"단독샵")</f>
        <v>0</v>
      </c>
      <c r="Z2" t="s">
        <v>116</v>
      </c>
      <c r="AA2" s="17">
        <f>COUNTIF(AA10:AA176,"단독샵")</f>
        <v>0</v>
      </c>
      <c r="AC2" t="s">
        <v>116</v>
      </c>
      <c r="AD2" s="17">
        <f>COUNTIF(AD10:AD176,"단독샵")</f>
        <v>2</v>
      </c>
      <c r="AG2" t="s">
        <v>628</v>
      </c>
      <c r="AH2" s="17">
        <f>COUNTIF(AH10:AH203,"단독샵")</f>
        <v>0</v>
      </c>
      <c r="AJ2" t="s">
        <v>628</v>
      </c>
      <c r="AK2" s="17">
        <f>COUNTIF(AK10:AK203,"단독샵")</f>
        <v>10</v>
      </c>
      <c r="AN2" t="s">
        <v>628</v>
      </c>
      <c r="AO2" s="17">
        <f>COUNTIF(AO10:AO203,"단독샵")</f>
        <v>0</v>
      </c>
      <c r="AQ2" t="s">
        <v>628</v>
      </c>
      <c r="AR2" s="17">
        <f>COUNTIF(AR10:AR203,"단독샵")</f>
        <v>16</v>
      </c>
      <c r="AU2" t="s">
        <v>628</v>
      </c>
      <c r="AV2" s="17">
        <f>COUNTIF(AV10:AV203,"단독샵")</f>
        <v>1</v>
      </c>
      <c r="AX2" t="s">
        <v>628</v>
      </c>
      <c r="AY2" s="17">
        <f>COUNTIF(AY10:AY202,"단독샵")</f>
        <v>40</v>
      </c>
      <c r="BA2" t="s">
        <v>628</v>
      </c>
      <c r="BB2" s="17">
        <f>COUNTIF(BB10:BB203,"단독샵")</f>
        <v>0</v>
      </c>
      <c r="BE2" t="s">
        <v>628</v>
      </c>
      <c r="BF2" s="17">
        <f>COUNTIF(BF10:BF203,"단독샵")</f>
        <v>49</v>
      </c>
      <c r="BI2" t="s">
        <v>628</v>
      </c>
      <c r="BJ2" s="17">
        <f>COUNTIF(BJ10:BJ203,"단독샵")</f>
        <v>3</v>
      </c>
      <c r="BL2" t="s">
        <v>628</v>
      </c>
      <c r="BM2" s="17">
        <f>COUNTIF(BM10:BM203,"단독샵")</f>
        <v>6</v>
      </c>
      <c r="BP2" t="s">
        <v>628</v>
      </c>
      <c r="BQ2" s="17">
        <f>COUNTIF(BQ10:BQ203,"단독샵")</f>
        <v>18</v>
      </c>
      <c r="BS2" t="s">
        <v>628</v>
      </c>
      <c r="BT2" s="17">
        <f>COUNTIF(BT10:BT203,"단독샵")</f>
        <v>3</v>
      </c>
      <c r="BW2" t="s">
        <v>628</v>
      </c>
      <c r="BX2" s="17">
        <f>COUNTIF(BX10:BX203,"단독샵")</f>
        <v>12</v>
      </c>
      <c r="BZ2" t="s">
        <v>628</v>
      </c>
      <c r="CA2" s="17">
        <f>COUNTIF(CA10:CA203,"단독샵")</f>
        <v>8</v>
      </c>
      <c r="CD2" t="s">
        <v>628</v>
      </c>
      <c r="CE2" s="17">
        <f>COUNTIF(CE10:CE23,"단독샵")</f>
        <v>7</v>
      </c>
      <c r="CG2" t="s">
        <v>628</v>
      </c>
      <c r="CH2" s="17">
        <f>COUNTIF(CH10:CH200,"단독샵")</f>
        <v>5</v>
      </c>
      <c r="CJ2" t="s">
        <v>628</v>
      </c>
      <c r="CK2" s="17">
        <f>COUNTIF(CK10:CK203,"단독샵")</f>
        <v>9</v>
      </c>
      <c r="CM2" t="s">
        <v>628</v>
      </c>
      <c r="CN2" s="17">
        <f>COUNTIF(CN10:CN196,"단독샵")</f>
        <v>0</v>
      </c>
      <c r="CQ2" t="s">
        <v>116</v>
      </c>
      <c r="CR2" s="17">
        <f>COUNTIF(CR10:CR203,"단독샵")</f>
        <v>3</v>
      </c>
      <c r="CT2" t="s">
        <v>116</v>
      </c>
      <c r="CU2" s="17">
        <f>COUNTIF(CU10:CU196,"단독샵")</f>
        <v>1</v>
      </c>
    </row>
    <row r="3" spans="2:99">
      <c r="B3" s="81" t="s">
        <v>1050</v>
      </c>
      <c r="C3" s="82"/>
      <c r="D3" s="19">
        <v>2012</v>
      </c>
      <c r="E3" s="19">
        <v>2013</v>
      </c>
      <c r="F3" s="19">
        <v>2014</v>
      </c>
      <c r="G3" s="19">
        <v>2015</v>
      </c>
      <c r="H3" s="19">
        <v>2016</v>
      </c>
      <c r="I3" s="19">
        <v>2017</v>
      </c>
      <c r="J3" s="19">
        <v>2018</v>
      </c>
      <c r="K3" s="19">
        <v>2019</v>
      </c>
      <c r="L3" s="19">
        <v>2020</v>
      </c>
      <c r="M3" s="19">
        <v>2021</v>
      </c>
      <c r="N3" s="19">
        <v>2022</v>
      </c>
      <c r="O3" s="19">
        <v>2023</v>
      </c>
      <c r="P3" s="83" t="s">
        <v>1051</v>
      </c>
      <c r="Q3" s="93"/>
      <c r="S3" t="s">
        <v>444</v>
      </c>
      <c r="T3" s="17">
        <f>COUNTIF(T10:T167,"아이웨어샵")</f>
        <v>0</v>
      </c>
      <c r="V3" t="s">
        <v>444</v>
      </c>
      <c r="W3" s="17">
        <f>COUNTIF(W10:W167,"아이웨어샵")</f>
        <v>0</v>
      </c>
      <c r="X3" s="93"/>
      <c r="Z3" t="s">
        <v>444</v>
      </c>
      <c r="AA3" s="17">
        <f>COUNTIF(AA10:AA177,"아이웨어샵")</f>
        <v>0</v>
      </c>
      <c r="AC3" t="s">
        <v>444</v>
      </c>
      <c r="AD3" s="17">
        <f>COUNTIF(AD10:AD177,"아이웨어샵")</f>
        <v>1</v>
      </c>
      <c r="AG3" t="s">
        <v>629</v>
      </c>
      <c r="AH3" s="17">
        <f>COUNTIF(AH10:AH204,"아이웨어샵")</f>
        <v>0</v>
      </c>
      <c r="AJ3" t="s">
        <v>629</v>
      </c>
      <c r="AK3" s="17">
        <f>COUNTIF(AK10:AK204,"아이웨어샵")</f>
        <v>6</v>
      </c>
      <c r="AN3" t="s">
        <v>629</v>
      </c>
      <c r="AO3" s="17">
        <f>COUNTIF(AO10:AO204,"아이웨어샵")</f>
        <v>2</v>
      </c>
      <c r="AQ3" t="s">
        <v>629</v>
      </c>
      <c r="AR3" s="17">
        <f>COUNTIF(AR10:AR204,"아이웨어샵")</f>
        <v>6</v>
      </c>
      <c r="AU3" t="s">
        <v>629</v>
      </c>
      <c r="AV3" s="17">
        <f>COUNTIF(AV10:AV204,"아이웨어샵")</f>
        <v>0</v>
      </c>
      <c r="AX3" t="s">
        <v>629</v>
      </c>
      <c r="AY3" s="17">
        <f>COUNTIF(AY10:AY203,"아이웨어샵")</f>
        <v>14</v>
      </c>
      <c r="BA3" t="s">
        <v>629</v>
      </c>
      <c r="BB3" s="17">
        <f>COUNTIF(BB10:BB204,"아이웨어샵")</f>
        <v>0</v>
      </c>
      <c r="BE3" t="s">
        <v>629</v>
      </c>
      <c r="BF3" s="17">
        <f>COUNTIF(BF10:BF204,"아이웨어샵")</f>
        <v>14</v>
      </c>
      <c r="BI3" t="s">
        <v>629</v>
      </c>
      <c r="BJ3" s="17">
        <f>COUNTIF(BJ10:BJ204,"아이웨어샵")</f>
        <v>0</v>
      </c>
      <c r="BL3" t="s">
        <v>629</v>
      </c>
      <c r="BM3" s="17">
        <f>COUNTIF(BM10:BM204,"아이웨어샵")</f>
        <v>1</v>
      </c>
      <c r="BP3" t="s">
        <v>629</v>
      </c>
      <c r="BQ3" s="17">
        <f>COUNTIF(BQ10:BQ204,"아이웨어샵")</f>
        <v>0</v>
      </c>
      <c r="BS3" t="s">
        <v>629</v>
      </c>
      <c r="BT3" s="17">
        <f>COUNTIF(BT10:BT204,"아이웨어샵")</f>
        <v>2</v>
      </c>
      <c r="BW3" t="s">
        <v>629</v>
      </c>
      <c r="BX3" s="17">
        <f>COUNTIF(BX10:BX204,"아이웨어샵")</f>
        <v>2</v>
      </c>
      <c r="BZ3" t="s">
        <v>629</v>
      </c>
      <c r="CA3" s="17">
        <f>COUNTIF(CA10:CA204,"아이웨어샵")</f>
        <v>0</v>
      </c>
      <c r="CD3" t="s">
        <v>629</v>
      </c>
      <c r="CE3" s="17">
        <f>COUNTIF(CE10:CE24,"아이웨어샵")</f>
        <v>4</v>
      </c>
      <c r="CG3" t="s">
        <v>629</v>
      </c>
      <c r="CH3" s="17">
        <f>COUNTIF(CH10:CH214,"아이웨어샵")</f>
        <v>2</v>
      </c>
      <c r="CJ3" t="s">
        <v>629</v>
      </c>
      <c r="CK3" s="17">
        <f>COUNTIF(CK10:CK204,"아이웨어샵")</f>
        <v>1</v>
      </c>
      <c r="CM3" t="s">
        <v>629</v>
      </c>
      <c r="CN3" s="17">
        <f>COUNTIF(CN10:CN197,"아이웨어샵")</f>
        <v>0</v>
      </c>
      <c r="CQ3" t="s">
        <v>444</v>
      </c>
      <c r="CR3" s="17">
        <f>COUNTIF(CR10:CR204,"아이웨어샵")</f>
        <v>3</v>
      </c>
      <c r="CT3" t="s">
        <v>444</v>
      </c>
      <c r="CU3" s="17">
        <f>COUNTIF(CU10:CU197,"아이웨어샵")</f>
        <v>0</v>
      </c>
    </row>
    <row r="4" spans="2:99">
      <c r="B4" s="230" t="s">
        <v>1052</v>
      </c>
      <c r="C4" s="84" t="s">
        <v>1053</v>
      </c>
      <c r="D4" s="85">
        <v>1</v>
      </c>
      <c r="E4" s="85">
        <v>2</v>
      </c>
      <c r="F4" s="85">
        <v>9</v>
      </c>
      <c r="G4" s="85">
        <v>16</v>
      </c>
      <c r="H4" s="85">
        <v>40</v>
      </c>
      <c r="I4" s="85">
        <v>46</v>
      </c>
      <c r="J4" s="85">
        <v>6</v>
      </c>
      <c r="K4" s="85">
        <v>3</v>
      </c>
      <c r="L4" s="85">
        <v>8</v>
      </c>
      <c r="M4" s="85">
        <v>5</v>
      </c>
      <c r="N4" s="85">
        <v>0</v>
      </c>
      <c r="O4" s="85">
        <f>COUNTIF(CU10:CU33,"단독샵")</f>
        <v>1</v>
      </c>
      <c r="P4" s="86">
        <f>SUM(D4:O4)</f>
        <v>137</v>
      </c>
      <c r="Q4" s="94"/>
      <c r="S4" t="s">
        <v>441</v>
      </c>
      <c r="T4" s="17">
        <f>COUNTIF(T10:T168,"글라스미")</f>
        <v>0</v>
      </c>
      <c r="V4" t="s">
        <v>441</v>
      </c>
      <c r="W4" s="17">
        <f>COUNTIF(W10:W168,"글라스미")</f>
        <v>0</v>
      </c>
      <c r="X4" s="94"/>
      <c r="Z4" t="s">
        <v>441</v>
      </c>
      <c r="AA4" s="17">
        <f>COUNTIF(AA10:AA178,"글라스미")</f>
        <v>0</v>
      </c>
      <c r="AC4" t="s">
        <v>441</v>
      </c>
      <c r="AD4" s="17">
        <f>COUNTIF(AD10:AD178,"글라스미")</f>
        <v>0</v>
      </c>
      <c r="AG4" t="s">
        <v>630</v>
      </c>
      <c r="AH4" s="17">
        <f>COUNTIF(AH10:AH205,"글라스미")</f>
        <v>0</v>
      </c>
      <c r="AJ4" t="s">
        <v>630</v>
      </c>
      <c r="AK4" s="17">
        <f>COUNTIF(AK10:AK205,"글라스미")</f>
        <v>0</v>
      </c>
      <c r="AN4" t="s">
        <v>630</v>
      </c>
      <c r="AO4" s="17">
        <f>COUNTIF(AO10:AO205,"글라스미")</f>
        <v>0</v>
      </c>
      <c r="AQ4" t="s">
        <v>630</v>
      </c>
      <c r="AR4" s="17">
        <f>COUNTIF(AR10:AR205,"글라스미")</f>
        <v>0</v>
      </c>
      <c r="AU4" t="s">
        <v>630</v>
      </c>
      <c r="AV4" s="17">
        <f>COUNTIF(AV10:AV205,"글라스미")</f>
        <v>0</v>
      </c>
      <c r="AX4" t="s">
        <v>630</v>
      </c>
      <c r="AY4" s="17">
        <f>COUNTIF(AY10:AY204,"글라스미")</f>
        <v>0</v>
      </c>
      <c r="BA4" t="s">
        <v>630</v>
      </c>
      <c r="BB4" s="17">
        <f>COUNTIF(BB10:BB205,"글라스미")</f>
        <v>0</v>
      </c>
      <c r="BE4" t="s">
        <v>630</v>
      </c>
      <c r="BF4" s="17">
        <f>COUNTIF(BF10:BF205,"글라스미")</f>
        <v>0</v>
      </c>
      <c r="BI4" t="s">
        <v>630</v>
      </c>
      <c r="BJ4" s="17">
        <f>COUNTIF(BJ10:BJ205,"글라스미")</f>
        <v>0</v>
      </c>
      <c r="BL4" t="s">
        <v>630</v>
      </c>
      <c r="BM4" s="17">
        <f>COUNTIF(BM10:BM205,"글라스미")</f>
        <v>0</v>
      </c>
      <c r="BP4" t="s">
        <v>630</v>
      </c>
      <c r="BQ4" s="17">
        <f>COUNTIF(BQ10:BQ205,"글라스미")</f>
        <v>0</v>
      </c>
      <c r="BS4" t="s">
        <v>630</v>
      </c>
      <c r="BT4" s="17">
        <f>COUNTIF(BT10:BT205,"글라스미")</f>
        <v>0</v>
      </c>
      <c r="BW4" t="s">
        <v>630</v>
      </c>
      <c r="BX4" s="17">
        <f>COUNTIF(BX10:BX205,"글라스미")</f>
        <v>0</v>
      </c>
      <c r="BZ4" t="s">
        <v>630</v>
      </c>
      <c r="CA4" s="17">
        <f>COUNTIF(CA10:CA205,"글라스미")</f>
        <v>0</v>
      </c>
      <c r="CD4" t="s">
        <v>630</v>
      </c>
      <c r="CE4" s="17">
        <f>COUNTIF(CE10:CE25,"글라스미")</f>
        <v>0</v>
      </c>
      <c r="CG4" t="s">
        <v>630</v>
      </c>
      <c r="CH4" s="17">
        <f>COUNTIF(CH10:CH205,"글라스미")</f>
        <v>4</v>
      </c>
      <c r="CJ4" t="s">
        <v>630</v>
      </c>
      <c r="CK4" s="17">
        <f>COUNTIF(CK10:CK205,"글라스미")</f>
        <v>1</v>
      </c>
      <c r="CM4" t="s">
        <v>630</v>
      </c>
      <c r="CN4" s="17">
        <f>COUNTIF(CN10:CN198,"글라스미")</f>
        <v>11</v>
      </c>
      <c r="CQ4" t="s">
        <v>441</v>
      </c>
      <c r="CR4" s="17">
        <f>COUNTIF(CR10:CR205,"글라스미")</f>
        <v>2</v>
      </c>
      <c r="CT4" t="s">
        <v>441</v>
      </c>
      <c r="CU4" s="17">
        <f>COUNTIF(CU10:CU198,"글라스미")</f>
        <v>1</v>
      </c>
    </row>
    <row r="5" spans="2:99">
      <c r="B5" s="231"/>
      <c r="C5" s="84" t="s">
        <v>1054</v>
      </c>
      <c r="D5" s="85">
        <v>1</v>
      </c>
      <c r="E5" s="85">
        <v>1</v>
      </c>
      <c r="F5" s="85">
        <v>6</v>
      </c>
      <c r="G5" s="85">
        <v>6</v>
      </c>
      <c r="H5" s="85">
        <v>14</v>
      </c>
      <c r="I5" s="85">
        <v>11</v>
      </c>
      <c r="J5" s="85">
        <v>1</v>
      </c>
      <c r="K5" s="85">
        <v>2</v>
      </c>
      <c r="L5" s="85">
        <v>0</v>
      </c>
      <c r="M5" s="85">
        <v>2</v>
      </c>
      <c r="N5" s="85">
        <v>0</v>
      </c>
      <c r="O5" s="85">
        <f>COUNTIF(CU10:CU33,"아이웨어샵")</f>
        <v>0</v>
      </c>
      <c r="P5" s="86">
        <f t="shared" ref="P5:P7" si="0">SUM(D5:O5)</f>
        <v>44</v>
      </c>
      <c r="Q5" s="94"/>
      <c r="S5" t="s">
        <v>442</v>
      </c>
      <c r="T5" s="17">
        <f>COUNTIF(T10:T199,"샵앤샵")</f>
        <v>0</v>
      </c>
      <c r="V5" t="s">
        <v>442</v>
      </c>
      <c r="W5" s="17">
        <f>COUNTIF(W10:W199,"샵앤샵")</f>
        <v>5</v>
      </c>
      <c r="X5" s="94"/>
      <c r="Z5" t="s">
        <v>442</v>
      </c>
      <c r="AA5" s="17">
        <f>COUNTIF(AA10:AA209,"샵앤샵")</f>
        <v>0</v>
      </c>
      <c r="AC5" t="s">
        <v>442</v>
      </c>
      <c r="AD5" s="17">
        <f>COUNTIF(AD10:AD209,"샵앤샵")</f>
        <v>12</v>
      </c>
      <c r="AG5" t="s">
        <v>631</v>
      </c>
      <c r="AH5" s="17">
        <f>COUNTIF(AH10:AH236,"샵앤샵")</f>
        <v>0</v>
      </c>
      <c r="AJ5" t="s">
        <v>631</v>
      </c>
      <c r="AK5" s="17">
        <f>COUNTIF(AK10:AK236,"샵앤샵")</f>
        <v>26</v>
      </c>
      <c r="AN5" t="s">
        <v>631</v>
      </c>
      <c r="AO5" s="17">
        <f>COUNTIF(AO10:AO236,"샵앤샵")</f>
        <v>0</v>
      </c>
      <c r="AQ5" t="s">
        <v>631</v>
      </c>
      <c r="AR5" s="17">
        <f>COUNTIF(AR10:AR236,"샵앤샵")</f>
        <v>7</v>
      </c>
      <c r="AU5" t="s">
        <v>631</v>
      </c>
      <c r="AV5" s="17">
        <f>COUNTIF(AV10:AV236,"샵앤샵")</f>
        <v>0</v>
      </c>
      <c r="AX5" t="s">
        <v>631</v>
      </c>
      <c r="AY5" s="17">
        <f>COUNTIF(AY10:AY235,"샵앤샵")</f>
        <v>6</v>
      </c>
      <c r="BA5" t="s">
        <v>631</v>
      </c>
      <c r="BB5" s="17">
        <f>COUNTIF(BB10:BB236,"샵앤샵")</f>
        <v>0</v>
      </c>
      <c r="BE5" t="s">
        <v>631</v>
      </c>
      <c r="BF5" s="17">
        <f>COUNTIF(BF10:BF236,"샵앤샵")</f>
        <v>11</v>
      </c>
      <c r="BI5" t="s">
        <v>631</v>
      </c>
      <c r="BJ5" s="17">
        <f>COUNTIF(BJ10:BJ236,"샵앤샵")</f>
        <v>2</v>
      </c>
      <c r="BL5" t="s">
        <v>631</v>
      </c>
      <c r="BM5" s="17">
        <f>COUNTIF(BM10:BM236,"샵앤샵")</f>
        <v>12</v>
      </c>
      <c r="BP5" t="s">
        <v>631</v>
      </c>
      <c r="BQ5" s="17">
        <f>COUNTIF(BQ10:BQ236,"샵앤샵")</f>
        <v>6</v>
      </c>
      <c r="BS5" t="s">
        <v>631</v>
      </c>
      <c r="BT5" s="17">
        <f>COUNTIF(BT10:BT236,"샵앤샵")</f>
        <v>8</v>
      </c>
      <c r="BW5" t="s">
        <v>631</v>
      </c>
      <c r="BX5" s="17">
        <f>COUNTIF(BX10:BX236,"샵앤샵")</f>
        <v>2</v>
      </c>
      <c r="BZ5" t="s">
        <v>631</v>
      </c>
      <c r="CA5" s="17">
        <f>COUNTIF(CA10:CA236,"샵앤샵")</f>
        <v>10</v>
      </c>
      <c r="CD5" t="s">
        <v>631</v>
      </c>
      <c r="CE5" s="17">
        <f>COUNTIF(CE10:CE236,"샵앤샵")</f>
        <v>3</v>
      </c>
      <c r="CG5" t="s">
        <v>631</v>
      </c>
      <c r="CH5" s="17">
        <f>COUNTIF(CH10:CH236,"샵앤샵")</f>
        <v>5</v>
      </c>
      <c r="CJ5" t="s">
        <v>631</v>
      </c>
      <c r="CK5" s="17">
        <f>COUNTIF(CK10:CK2036,"샵앤샵")</f>
        <v>1</v>
      </c>
      <c r="CM5" t="s">
        <v>631</v>
      </c>
      <c r="CN5" s="17">
        <f>COUNTIF(CN10:CN229,"샵앤샵")</f>
        <v>2</v>
      </c>
      <c r="CQ5" t="s">
        <v>442</v>
      </c>
      <c r="CR5" s="17">
        <f>COUNTIF(CR10:CR2036,"샵앤샵")</f>
        <v>4</v>
      </c>
      <c r="CT5" t="s">
        <v>442</v>
      </c>
      <c r="CU5" s="17">
        <f>COUNTIF(CU10:CU229,"샵앤샵")</f>
        <v>7</v>
      </c>
    </row>
    <row r="6" spans="2:99">
      <c r="B6" s="231"/>
      <c r="C6" s="84" t="s">
        <v>1055</v>
      </c>
      <c r="D6" s="85">
        <v>5</v>
      </c>
      <c r="E6" s="85">
        <v>12</v>
      </c>
      <c r="F6" s="85">
        <v>25</v>
      </c>
      <c r="G6" s="85">
        <v>7</v>
      </c>
      <c r="H6" s="85">
        <v>5</v>
      </c>
      <c r="I6" s="85">
        <v>10</v>
      </c>
      <c r="J6" s="85">
        <v>11</v>
      </c>
      <c r="K6" s="85">
        <v>7</v>
      </c>
      <c r="L6" s="85">
        <v>10</v>
      </c>
      <c r="M6" s="85">
        <v>5</v>
      </c>
      <c r="N6" s="85">
        <v>2</v>
      </c>
      <c r="O6" s="85">
        <v>7</v>
      </c>
      <c r="P6" s="86">
        <f t="shared" si="0"/>
        <v>106</v>
      </c>
      <c r="Q6" s="94"/>
      <c r="X6" s="94"/>
      <c r="CG6" t="s">
        <v>1045</v>
      </c>
      <c r="CH6" s="17">
        <f>COUNTIF(CH10:CH237,"전환")</f>
        <v>31</v>
      </c>
      <c r="CM6" t="s">
        <v>1045</v>
      </c>
      <c r="CN6" s="17">
        <f>COUNTIF(CN11:CN230,"전환")</f>
        <v>5</v>
      </c>
      <c r="CT6" t="s">
        <v>1033</v>
      </c>
      <c r="CU6" s="17">
        <f>COUNTIF(CU11:CU230,"전환")</f>
        <v>1</v>
      </c>
    </row>
    <row r="7" spans="2:99" ht="27" customHeight="1">
      <c r="B7" s="231"/>
      <c r="C7" s="84" t="s">
        <v>1056</v>
      </c>
      <c r="D7" s="85"/>
      <c r="E7" s="85"/>
      <c r="F7" s="85"/>
      <c r="G7" s="85"/>
      <c r="H7" s="85"/>
      <c r="I7" s="85"/>
      <c r="J7" s="85">
        <v>0</v>
      </c>
      <c r="K7" s="85">
        <v>0</v>
      </c>
      <c r="L7" s="85">
        <v>0</v>
      </c>
      <c r="M7" s="85">
        <v>4</v>
      </c>
      <c r="N7" s="85">
        <v>11</v>
      </c>
      <c r="O7" s="85">
        <f>COUNTIF(CU10:CU33,"글라스미")</f>
        <v>1</v>
      </c>
      <c r="P7" s="86">
        <f t="shared" si="0"/>
        <v>16</v>
      </c>
      <c r="Q7" s="94"/>
      <c r="R7" s="236">
        <v>2012</v>
      </c>
      <c r="S7" s="236"/>
      <c r="T7" s="236"/>
      <c r="U7" s="236"/>
      <c r="V7" s="236"/>
      <c r="W7" s="236"/>
      <c r="X7" s="94"/>
      <c r="Y7" s="236">
        <v>2014</v>
      </c>
      <c r="Z7" s="236"/>
      <c r="AA7" s="236"/>
      <c r="AB7" s="236"/>
      <c r="AC7" s="236"/>
      <c r="AD7" s="236"/>
      <c r="AF7" s="236">
        <v>2014</v>
      </c>
      <c r="AG7" s="236"/>
      <c r="AH7" s="236"/>
      <c r="AI7" s="236"/>
      <c r="AJ7" s="236"/>
      <c r="AK7" s="236"/>
      <c r="AM7" s="236">
        <v>2015</v>
      </c>
      <c r="AN7" s="236"/>
      <c r="AO7" s="236"/>
      <c r="AP7" s="236"/>
      <c r="AQ7" s="236"/>
      <c r="AR7" s="236"/>
      <c r="AT7" s="236">
        <v>2016</v>
      </c>
      <c r="AU7" s="236"/>
      <c r="AV7" s="236"/>
      <c r="AW7" s="236"/>
      <c r="AX7" s="236"/>
      <c r="AY7" s="236"/>
      <c r="BA7" s="236">
        <v>2017</v>
      </c>
      <c r="BB7" s="236"/>
      <c r="BC7" s="236"/>
      <c r="BD7" s="236"/>
      <c r="BE7" s="236"/>
      <c r="BF7" s="236"/>
      <c r="BH7" s="236">
        <v>2018</v>
      </c>
      <c r="BI7" s="236"/>
      <c r="BJ7" s="236"/>
      <c r="BK7" s="236"/>
      <c r="BL7" s="236"/>
      <c r="BM7" s="236"/>
      <c r="BO7" s="236">
        <v>2019</v>
      </c>
      <c r="BP7" s="236"/>
      <c r="BQ7" s="236"/>
      <c r="BR7" s="236"/>
      <c r="BS7" s="236"/>
      <c r="BT7" s="236"/>
      <c r="BV7" s="236">
        <v>2020</v>
      </c>
      <c r="BW7" s="236"/>
      <c r="BX7" s="236"/>
      <c r="BY7" s="236"/>
      <c r="BZ7" s="236"/>
      <c r="CA7" s="236"/>
      <c r="CC7" s="239" t="s">
        <v>471</v>
      </c>
      <c r="CD7" s="240"/>
      <c r="CE7" s="240"/>
      <c r="CF7" s="240"/>
      <c r="CG7" s="240"/>
      <c r="CH7" s="240"/>
      <c r="CI7" s="239" t="s">
        <v>529</v>
      </c>
      <c r="CJ7" s="240"/>
      <c r="CK7" s="240"/>
      <c r="CL7" s="240"/>
      <c r="CM7" s="240"/>
      <c r="CN7" s="240"/>
      <c r="CP7" s="236" t="s">
        <v>574</v>
      </c>
      <c r="CQ7" s="236"/>
      <c r="CR7" s="236"/>
      <c r="CS7" s="236"/>
      <c r="CT7" s="236"/>
      <c r="CU7" s="236"/>
    </row>
    <row r="8" spans="2:99">
      <c r="B8" s="231"/>
      <c r="C8" s="84" t="s">
        <v>1057</v>
      </c>
      <c r="D8" s="85"/>
      <c r="E8" s="85"/>
      <c r="F8" s="85"/>
      <c r="G8" s="85"/>
      <c r="H8" s="85"/>
      <c r="I8" s="85"/>
      <c r="J8" s="85"/>
      <c r="K8" s="85"/>
      <c r="L8" s="85"/>
      <c r="M8" s="85">
        <v>31</v>
      </c>
      <c r="N8" s="85">
        <v>5</v>
      </c>
      <c r="O8" s="85">
        <f>COUNTIF(CU10:CU33,"전환")</f>
        <v>1</v>
      </c>
      <c r="P8" s="86"/>
      <c r="Q8" s="94"/>
      <c r="R8" s="237" t="s">
        <v>470</v>
      </c>
      <c r="S8" s="237"/>
      <c r="T8" s="237"/>
      <c r="U8" s="238" t="s">
        <v>527</v>
      </c>
      <c r="V8" s="238"/>
      <c r="W8" s="238"/>
      <c r="X8" s="94"/>
      <c r="Y8" s="237" t="s">
        <v>470</v>
      </c>
      <c r="Z8" s="237"/>
      <c r="AA8" s="237"/>
      <c r="AB8" s="238" t="s">
        <v>527</v>
      </c>
      <c r="AC8" s="238"/>
      <c r="AD8" s="238"/>
      <c r="AF8" s="237" t="s">
        <v>470</v>
      </c>
      <c r="AG8" s="237"/>
      <c r="AH8" s="237"/>
      <c r="AI8" s="238" t="s">
        <v>527</v>
      </c>
      <c r="AJ8" s="238"/>
      <c r="AK8" s="238"/>
      <c r="AM8" s="237" t="s">
        <v>470</v>
      </c>
      <c r="AN8" s="237"/>
      <c r="AO8" s="237"/>
      <c r="AP8" s="238" t="s">
        <v>527</v>
      </c>
      <c r="AQ8" s="238"/>
      <c r="AR8" s="238"/>
      <c r="AT8" s="237" t="s">
        <v>470</v>
      </c>
      <c r="AU8" s="237"/>
      <c r="AV8" s="237"/>
      <c r="AW8" s="238" t="s">
        <v>527</v>
      </c>
      <c r="AX8" s="238"/>
      <c r="AY8" s="238"/>
      <c r="BA8" s="237" t="s">
        <v>470</v>
      </c>
      <c r="BB8" s="237"/>
      <c r="BC8" s="237"/>
      <c r="BD8" s="238" t="s">
        <v>527</v>
      </c>
      <c r="BE8" s="238"/>
      <c r="BF8" s="238"/>
      <c r="BH8" s="237" t="s">
        <v>470</v>
      </c>
      <c r="BI8" s="237"/>
      <c r="BJ8" s="237"/>
      <c r="BK8" s="238" t="s">
        <v>527</v>
      </c>
      <c r="BL8" s="238"/>
      <c r="BM8" s="238"/>
      <c r="BO8" s="237" t="s">
        <v>470</v>
      </c>
      <c r="BP8" s="237"/>
      <c r="BQ8" s="237"/>
      <c r="BR8" s="238" t="s">
        <v>527</v>
      </c>
      <c r="BS8" s="238"/>
      <c r="BT8" s="238"/>
      <c r="BV8" s="237" t="s">
        <v>470</v>
      </c>
      <c r="BW8" s="237"/>
      <c r="BX8" s="237"/>
      <c r="BY8" s="238" t="s">
        <v>527</v>
      </c>
      <c r="BZ8" s="238"/>
      <c r="CA8" s="238"/>
      <c r="CC8" s="244" t="s">
        <v>470</v>
      </c>
      <c r="CD8" s="245"/>
      <c r="CE8" s="246"/>
      <c r="CF8" s="247" t="s">
        <v>527</v>
      </c>
      <c r="CG8" s="248"/>
      <c r="CH8" s="248"/>
      <c r="CI8" s="244" t="s">
        <v>470</v>
      </c>
      <c r="CJ8" s="245"/>
      <c r="CK8" s="246"/>
      <c r="CL8" s="249" t="s">
        <v>530</v>
      </c>
      <c r="CM8" s="250"/>
      <c r="CN8" s="250"/>
      <c r="CP8" s="237" t="s">
        <v>470</v>
      </c>
      <c r="CQ8" s="237"/>
      <c r="CR8" s="237"/>
      <c r="CS8" s="238" t="s">
        <v>530</v>
      </c>
      <c r="CT8" s="238"/>
      <c r="CU8" s="238"/>
    </row>
    <row r="9" spans="2:99" ht="17.25" thickBot="1">
      <c r="B9" s="232"/>
      <c r="C9" s="87" t="s">
        <v>1058</v>
      </c>
      <c r="D9" s="88">
        <f>SUM(D4:D7)</f>
        <v>7</v>
      </c>
      <c r="E9" s="88">
        <f t="shared" ref="E9:I9" si="1">SUM(E4:E7)</f>
        <v>15</v>
      </c>
      <c r="F9" s="88">
        <f t="shared" si="1"/>
        <v>40</v>
      </c>
      <c r="G9" s="88">
        <f t="shared" si="1"/>
        <v>29</v>
      </c>
      <c r="H9" s="88">
        <f t="shared" si="1"/>
        <v>59</v>
      </c>
      <c r="I9" s="88">
        <f t="shared" si="1"/>
        <v>67</v>
      </c>
      <c r="J9" s="88">
        <f>SUM(J4:J7)</f>
        <v>18</v>
      </c>
      <c r="K9" s="88">
        <f t="shared" ref="K9:N9" si="2">SUM(K4:K7)</f>
        <v>12</v>
      </c>
      <c r="L9" s="88">
        <f t="shared" si="2"/>
        <v>18</v>
      </c>
      <c r="M9" s="88">
        <f t="shared" si="2"/>
        <v>16</v>
      </c>
      <c r="N9" s="88">
        <f t="shared" si="2"/>
        <v>13</v>
      </c>
      <c r="O9" s="88">
        <f>SUM(O4:O8)</f>
        <v>10</v>
      </c>
      <c r="P9" s="89"/>
      <c r="Q9" s="95"/>
      <c r="R9" s="19" t="s">
        <v>558</v>
      </c>
      <c r="S9" s="19" t="s">
        <v>528</v>
      </c>
      <c r="T9" s="19" t="s">
        <v>448</v>
      </c>
      <c r="U9" s="19" t="s">
        <v>558</v>
      </c>
      <c r="V9" s="19" t="s">
        <v>528</v>
      </c>
      <c r="W9" s="19" t="s">
        <v>448</v>
      </c>
      <c r="X9" s="95"/>
      <c r="Y9" s="19" t="s">
        <v>558</v>
      </c>
      <c r="Z9" s="19" t="s">
        <v>528</v>
      </c>
      <c r="AA9" s="19" t="s">
        <v>448</v>
      </c>
      <c r="AB9" s="19" t="s">
        <v>558</v>
      </c>
      <c r="AC9" s="19" t="s">
        <v>528</v>
      </c>
      <c r="AD9" s="19" t="s">
        <v>448</v>
      </c>
      <c r="AF9" s="19" t="s">
        <v>558</v>
      </c>
      <c r="AG9" s="19" t="s">
        <v>528</v>
      </c>
      <c r="AH9" s="19" t="s">
        <v>604</v>
      </c>
      <c r="AI9" s="19" t="s">
        <v>559</v>
      </c>
      <c r="AJ9" s="19" t="s">
        <v>528</v>
      </c>
      <c r="AK9" s="19" t="s">
        <v>604</v>
      </c>
      <c r="AM9" s="19" t="s">
        <v>558</v>
      </c>
      <c r="AN9" s="19" t="s">
        <v>528</v>
      </c>
      <c r="AO9" s="19" t="s">
        <v>604</v>
      </c>
      <c r="AP9" s="19" t="s">
        <v>559</v>
      </c>
      <c r="AQ9" s="19" t="s">
        <v>528</v>
      </c>
      <c r="AR9" s="19" t="s">
        <v>604</v>
      </c>
      <c r="AT9" s="19" t="s">
        <v>558</v>
      </c>
      <c r="AU9" s="19" t="s">
        <v>528</v>
      </c>
      <c r="AV9" s="19" t="s">
        <v>604</v>
      </c>
      <c r="AW9" s="19" t="s">
        <v>559</v>
      </c>
      <c r="AX9" s="19" t="s">
        <v>528</v>
      </c>
      <c r="AY9" s="19" t="s">
        <v>604</v>
      </c>
      <c r="BA9" s="19" t="s">
        <v>558</v>
      </c>
      <c r="BB9" s="19" t="s">
        <v>528</v>
      </c>
      <c r="BC9" s="19" t="s">
        <v>604</v>
      </c>
      <c r="BD9" s="19" t="s">
        <v>559</v>
      </c>
      <c r="BE9" s="19" t="s">
        <v>528</v>
      </c>
      <c r="BF9" s="19" t="s">
        <v>604</v>
      </c>
      <c r="BH9" s="19" t="s">
        <v>558</v>
      </c>
      <c r="BI9" s="19" t="s">
        <v>528</v>
      </c>
      <c r="BJ9" s="19" t="s">
        <v>604</v>
      </c>
      <c r="BK9" s="19" t="s">
        <v>559</v>
      </c>
      <c r="BL9" s="19" t="s">
        <v>528</v>
      </c>
      <c r="BM9" s="19" t="s">
        <v>604</v>
      </c>
      <c r="BO9" s="19" t="s">
        <v>558</v>
      </c>
      <c r="BP9" s="19" t="s">
        <v>528</v>
      </c>
      <c r="BQ9" s="19" t="s">
        <v>604</v>
      </c>
      <c r="BR9" s="19" t="s">
        <v>559</v>
      </c>
      <c r="BS9" s="19" t="s">
        <v>528</v>
      </c>
      <c r="BT9" s="19" t="s">
        <v>604</v>
      </c>
      <c r="BV9" s="19" t="s">
        <v>558</v>
      </c>
      <c r="BW9" s="19" t="s">
        <v>528</v>
      </c>
      <c r="BX9" s="19" t="s">
        <v>604</v>
      </c>
      <c r="BY9" s="19" t="s">
        <v>559</v>
      </c>
      <c r="BZ9" s="19" t="s">
        <v>528</v>
      </c>
      <c r="CA9" s="19" t="s">
        <v>604</v>
      </c>
      <c r="CC9" s="19" t="s">
        <v>558</v>
      </c>
      <c r="CD9" s="20" t="s">
        <v>528</v>
      </c>
      <c r="CE9" s="22" t="s">
        <v>604</v>
      </c>
      <c r="CF9" s="21" t="s">
        <v>559</v>
      </c>
      <c r="CG9" s="19" t="s">
        <v>532</v>
      </c>
      <c r="CH9" s="23" t="s">
        <v>605</v>
      </c>
      <c r="CI9" s="19" t="s">
        <v>560</v>
      </c>
      <c r="CJ9" s="20" t="s">
        <v>531</v>
      </c>
      <c r="CK9" s="22" t="s">
        <v>606</v>
      </c>
      <c r="CL9" s="21" t="s">
        <v>561</v>
      </c>
      <c r="CM9" s="19" t="s">
        <v>532</v>
      </c>
      <c r="CN9" s="19" t="s">
        <v>606</v>
      </c>
      <c r="CP9" s="19" t="s">
        <v>558</v>
      </c>
      <c r="CQ9" s="19" t="s">
        <v>528</v>
      </c>
      <c r="CR9" s="19" t="s">
        <v>606</v>
      </c>
      <c r="CS9" s="19" t="s">
        <v>558</v>
      </c>
      <c r="CT9" s="19" t="s">
        <v>528</v>
      </c>
      <c r="CU9" s="19" t="s">
        <v>606</v>
      </c>
    </row>
    <row r="10" spans="2:99" ht="17.25">
      <c r="B10" s="233" t="s">
        <v>1059</v>
      </c>
      <c r="C10" s="84" t="s">
        <v>1053</v>
      </c>
      <c r="D10" s="85"/>
      <c r="E10" s="85"/>
      <c r="F10" s="85"/>
      <c r="G10" s="85"/>
      <c r="H10" s="85"/>
      <c r="I10" s="85"/>
      <c r="J10" s="85">
        <v>3</v>
      </c>
      <c r="K10" s="85">
        <v>18</v>
      </c>
      <c r="L10" s="85">
        <v>12</v>
      </c>
      <c r="M10" s="85">
        <v>7</v>
      </c>
      <c r="N10" s="85">
        <v>9</v>
      </c>
      <c r="O10" s="85">
        <v>3</v>
      </c>
      <c r="P10" s="86">
        <f>SUM(D10:O10)</f>
        <v>52</v>
      </c>
      <c r="Q10" s="94"/>
      <c r="R10" s="36"/>
      <c r="S10" s="36"/>
      <c r="T10" s="36"/>
      <c r="U10" s="67" t="s">
        <v>1103</v>
      </c>
      <c r="V10" s="28" t="s">
        <v>91</v>
      </c>
      <c r="W10" s="54" t="s">
        <v>442</v>
      </c>
      <c r="X10" s="96"/>
      <c r="Y10" s="34"/>
      <c r="Z10" s="34"/>
      <c r="AA10" s="34"/>
      <c r="AB10" s="97" t="s">
        <v>1107</v>
      </c>
      <c r="AC10" s="98" t="s">
        <v>635</v>
      </c>
      <c r="AD10" s="54" t="s">
        <v>442</v>
      </c>
      <c r="AF10" s="36"/>
      <c r="AG10" s="36"/>
      <c r="AH10" s="36"/>
      <c r="AI10" s="25" t="s">
        <v>786</v>
      </c>
      <c r="AJ10" s="24" t="s">
        <v>642</v>
      </c>
      <c r="AK10" s="59" t="s">
        <v>628</v>
      </c>
      <c r="AL10" s="33"/>
      <c r="AM10" s="34" t="s">
        <v>553</v>
      </c>
      <c r="AN10" s="25" t="s">
        <v>644</v>
      </c>
      <c r="AO10" s="57" t="s">
        <v>1027</v>
      </c>
      <c r="AP10" s="34" t="s">
        <v>790</v>
      </c>
      <c r="AQ10" s="35" t="s">
        <v>657</v>
      </c>
      <c r="AR10" s="59" t="s">
        <v>988</v>
      </c>
      <c r="AS10" s="33"/>
      <c r="AT10" s="25" t="s">
        <v>466</v>
      </c>
      <c r="AU10" s="25" t="s">
        <v>647</v>
      </c>
      <c r="AV10" s="36" t="s">
        <v>1102</v>
      </c>
      <c r="AW10" s="34" t="s">
        <v>786</v>
      </c>
      <c r="AX10" s="35" t="s">
        <v>669</v>
      </c>
      <c r="AY10" s="59" t="s">
        <v>996</v>
      </c>
      <c r="AZ10" s="33"/>
      <c r="BA10" s="25" t="s">
        <v>932</v>
      </c>
      <c r="BB10" s="25" t="s">
        <v>662</v>
      </c>
      <c r="BC10" s="36"/>
      <c r="BD10" s="34" t="s">
        <v>786</v>
      </c>
      <c r="BE10" s="35" t="s">
        <v>106</v>
      </c>
      <c r="BF10" s="59" t="s">
        <v>628</v>
      </c>
      <c r="BG10" s="33"/>
      <c r="BH10" s="25" t="s">
        <v>463</v>
      </c>
      <c r="BI10" s="25" t="s">
        <v>634</v>
      </c>
      <c r="BJ10" s="54" t="s">
        <v>1022</v>
      </c>
      <c r="BK10" s="35" t="s">
        <v>655</v>
      </c>
      <c r="BL10" s="34" t="s">
        <v>724</v>
      </c>
      <c r="BM10" s="59" t="s">
        <v>1016</v>
      </c>
      <c r="BN10" s="33"/>
      <c r="BO10" s="25" t="s">
        <v>935</v>
      </c>
      <c r="BP10" s="25" t="s">
        <v>658</v>
      </c>
      <c r="BQ10" s="59" t="s">
        <v>443</v>
      </c>
      <c r="BR10" s="28" t="s">
        <v>736</v>
      </c>
      <c r="BS10" s="34" t="s">
        <v>737</v>
      </c>
      <c r="BT10" s="59" t="s">
        <v>443</v>
      </c>
      <c r="BU10" s="33"/>
      <c r="BV10" s="34" t="s">
        <v>955</v>
      </c>
      <c r="BW10" s="28" t="s">
        <v>956</v>
      </c>
      <c r="BX10" s="59" t="s">
        <v>443</v>
      </c>
      <c r="BY10" s="35" t="s">
        <v>654</v>
      </c>
      <c r="BZ10" s="34" t="s">
        <v>183</v>
      </c>
      <c r="CA10" s="59" t="s">
        <v>1018</v>
      </c>
      <c r="CB10" s="33"/>
      <c r="CC10" s="36" t="s">
        <v>208</v>
      </c>
      <c r="CD10" s="37" t="s">
        <v>449</v>
      </c>
      <c r="CE10" s="60" t="s">
        <v>607</v>
      </c>
      <c r="CF10" s="38" t="s">
        <v>208</v>
      </c>
      <c r="CG10" s="39" t="s">
        <v>489</v>
      </c>
      <c r="CH10" s="68" t="s">
        <v>1036</v>
      </c>
      <c r="CI10" s="36" t="s">
        <v>551</v>
      </c>
      <c r="CJ10" s="40" t="s">
        <v>1070</v>
      </c>
      <c r="CK10" s="75" t="s">
        <v>1071</v>
      </c>
      <c r="CL10" s="38" t="s">
        <v>518</v>
      </c>
      <c r="CM10" s="41" t="s">
        <v>533</v>
      </c>
      <c r="CN10" s="79" t="s">
        <v>615</v>
      </c>
      <c r="CO10" s="33"/>
      <c r="CP10" s="53" t="s">
        <v>1063</v>
      </c>
      <c r="CQ10" s="46" t="s">
        <v>1064</v>
      </c>
      <c r="CR10" s="90" t="s">
        <v>217</v>
      </c>
      <c r="CS10" s="46" t="s">
        <v>582</v>
      </c>
      <c r="CT10" s="46" t="s">
        <v>576</v>
      </c>
      <c r="CU10" s="54" t="s">
        <v>614</v>
      </c>
    </row>
    <row r="11" spans="2:99" ht="18" thickBot="1">
      <c r="B11" s="234"/>
      <c r="C11" s="84" t="s">
        <v>1054</v>
      </c>
      <c r="D11" s="85"/>
      <c r="E11" s="85"/>
      <c r="F11" s="85"/>
      <c r="G11" s="85">
        <v>1</v>
      </c>
      <c r="H11" s="85"/>
      <c r="I11" s="85"/>
      <c r="J11" s="85">
        <v>0</v>
      </c>
      <c r="K11" s="85">
        <v>0</v>
      </c>
      <c r="L11" s="85">
        <v>2</v>
      </c>
      <c r="M11" s="85">
        <v>4</v>
      </c>
      <c r="N11" s="85">
        <v>1</v>
      </c>
      <c r="O11" s="85">
        <v>3</v>
      </c>
      <c r="P11" s="86">
        <f t="shared" ref="P11:P13" si="3">SUM(D11:O11)</f>
        <v>11</v>
      </c>
      <c r="Q11" s="94"/>
      <c r="R11" s="36"/>
      <c r="S11" s="36"/>
      <c r="T11" s="36"/>
      <c r="U11" s="99" t="s">
        <v>1104</v>
      </c>
      <c r="V11" s="100" t="s">
        <v>59</v>
      </c>
      <c r="W11" s="54" t="s">
        <v>442</v>
      </c>
      <c r="X11" s="96"/>
      <c r="Y11" s="34"/>
      <c r="Z11" s="34"/>
      <c r="AA11" s="34"/>
      <c r="AB11" s="101" t="s">
        <v>1108</v>
      </c>
      <c r="AC11" s="102" t="s">
        <v>634</v>
      </c>
      <c r="AD11" s="54" t="s">
        <v>442</v>
      </c>
      <c r="AF11" s="36"/>
      <c r="AG11" s="36"/>
      <c r="AH11" s="36"/>
      <c r="AI11" s="25" t="s">
        <v>911</v>
      </c>
      <c r="AJ11" s="24" t="s">
        <v>643</v>
      </c>
      <c r="AK11" s="59" t="s">
        <v>628</v>
      </c>
      <c r="AL11" s="33"/>
      <c r="AM11" s="25" t="s">
        <v>467</v>
      </c>
      <c r="AN11" s="25" t="s">
        <v>668</v>
      </c>
      <c r="AO11" s="57" t="s">
        <v>623</v>
      </c>
      <c r="AP11" s="34" t="s">
        <v>787</v>
      </c>
      <c r="AQ11" s="35" t="s">
        <v>48</v>
      </c>
      <c r="AR11" s="59" t="s">
        <v>628</v>
      </c>
      <c r="AS11" s="33"/>
      <c r="AT11" s="36"/>
      <c r="AU11" s="36"/>
      <c r="AV11" s="36"/>
      <c r="AW11" s="34" t="s">
        <v>790</v>
      </c>
      <c r="AX11" s="35" t="s">
        <v>64</v>
      </c>
      <c r="AY11" s="59" t="s">
        <v>997</v>
      </c>
      <c r="AZ11" s="33"/>
      <c r="BA11" s="36"/>
      <c r="BB11" s="36"/>
      <c r="BC11" s="36"/>
      <c r="BD11" s="25" t="s">
        <v>787</v>
      </c>
      <c r="BE11" s="24" t="s">
        <v>153</v>
      </c>
      <c r="BF11" s="59" t="s">
        <v>1006</v>
      </c>
      <c r="BG11" s="33"/>
      <c r="BH11" s="25" t="s">
        <v>933</v>
      </c>
      <c r="BI11" s="25" t="s">
        <v>641</v>
      </c>
      <c r="BJ11" s="54" t="s">
        <v>631</v>
      </c>
      <c r="BK11" s="35" t="s">
        <v>723</v>
      </c>
      <c r="BL11" s="34" t="s">
        <v>727</v>
      </c>
      <c r="BM11" s="59" t="s">
        <v>6</v>
      </c>
      <c r="BN11" s="33"/>
      <c r="BO11" s="34" t="s">
        <v>935</v>
      </c>
      <c r="BP11" s="25" t="s">
        <v>724</v>
      </c>
      <c r="BQ11" s="59" t="s">
        <v>443</v>
      </c>
      <c r="BR11" s="34" t="s">
        <v>738</v>
      </c>
      <c r="BS11" s="34" t="s">
        <v>23</v>
      </c>
      <c r="BT11" s="59" t="s">
        <v>6</v>
      </c>
      <c r="BU11" s="33"/>
      <c r="BV11" s="34" t="s">
        <v>957</v>
      </c>
      <c r="BW11" s="27" t="s">
        <v>696</v>
      </c>
      <c r="BX11" s="59" t="s">
        <v>6</v>
      </c>
      <c r="BY11" s="35" t="s">
        <v>754</v>
      </c>
      <c r="BZ11" s="34" t="s">
        <v>761</v>
      </c>
      <c r="CA11" s="59" t="s">
        <v>1018</v>
      </c>
      <c r="CB11" s="33"/>
      <c r="CC11" s="36" t="s">
        <v>463</v>
      </c>
      <c r="CD11" s="37" t="s">
        <v>454</v>
      </c>
      <c r="CE11" s="60" t="s">
        <v>611</v>
      </c>
      <c r="CF11" s="38"/>
      <c r="CG11" s="39" t="s">
        <v>506</v>
      </c>
      <c r="CH11" s="68" t="s">
        <v>621</v>
      </c>
      <c r="CI11" s="36" t="s">
        <v>552</v>
      </c>
      <c r="CJ11" s="40" t="s">
        <v>1069</v>
      </c>
      <c r="CK11" s="76" t="s">
        <v>607</v>
      </c>
      <c r="CL11" s="38"/>
      <c r="CM11" s="41" t="s">
        <v>534</v>
      </c>
      <c r="CN11" s="91" t="s">
        <v>1040</v>
      </c>
      <c r="CO11" s="33"/>
      <c r="CP11" s="46" t="s">
        <v>580</v>
      </c>
      <c r="CQ11" s="46" t="s">
        <v>577</v>
      </c>
      <c r="CR11" s="54" t="s">
        <v>442</v>
      </c>
      <c r="CS11" s="46" t="s">
        <v>583</v>
      </c>
      <c r="CT11" s="46" t="s">
        <v>1044</v>
      </c>
      <c r="CU11" s="91" t="s">
        <v>1033</v>
      </c>
    </row>
    <row r="12" spans="2:99" ht="17.25">
      <c r="B12" s="234"/>
      <c r="C12" s="84" t="s">
        <v>1055</v>
      </c>
      <c r="D12" s="85"/>
      <c r="E12" s="85"/>
      <c r="F12" s="85"/>
      <c r="G12" s="85"/>
      <c r="H12" s="85"/>
      <c r="I12" s="85"/>
      <c r="J12" s="85">
        <v>2</v>
      </c>
      <c r="K12" s="85">
        <v>6</v>
      </c>
      <c r="L12" s="85">
        <v>2</v>
      </c>
      <c r="M12" s="85">
        <v>3</v>
      </c>
      <c r="N12" s="85">
        <v>1</v>
      </c>
      <c r="O12" s="85">
        <v>4</v>
      </c>
      <c r="P12" s="86">
        <f t="shared" si="3"/>
        <v>18</v>
      </c>
      <c r="Q12" s="94"/>
      <c r="R12" s="36"/>
      <c r="S12" s="36"/>
      <c r="T12" s="36"/>
      <c r="U12" s="97" t="s">
        <v>1105</v>
      </c>
      <c r="V12" s="103" t="s">
        <v>134</v>
      </c>
      <c r="W12" s="54" t="s">
        <v>442</v>
      </c>
      <c r="X12" s="96"/>
      <c r="Y12" s="34"/>
      <c r="Z12" s="34"/>
      <c r="AA12" s="34"/>
      <c r="AB12" s="104" t="s">
        <v>1109</v>
      </c>
      <c r="AC12" s="105" t="s">
        <v>148</v>
      </c>
      <c r="AD12" s="54" t="s">
        <v>442</v>
      </c>
      <c r="AF12" s="36"/>
      <c r="AG12" s="36"/>
      <c r="AH12" s="36"/>
      <c r="AI12" s="25" t="s">
        <v>912</v>
      </c>
      <c r="AJ12" s="24" t="s">
        <v>175</v>
      </c>
      <c r="AK12" s="59" t="s">
        <v>628</v>
      </c>
      <c r="AL12" s="33"/>
      <c r="AM12" s="36"/>
      <c r="AN12" s="36"/>
      <c r="AO12" s="36"/>
      <c r="AP12" s="34" t="s">
        <v>790</v>
      </c>
      <c r="AQ12" s="35" t="s">
        <v>18</v>
      </c>
      <c r="AR12" s="59" t="s">
        <v>628</v>
      </c>
      <c r="AS12" s="33"/>
      <c r="AT12" s="36"/>
      <c r="AU12" s="36"/>
      <c r="AV12" s="36"/>
      <c r="AW12" s="34" t="s">
        <v>851</v>
      </c>
      <c r="AX12" s="24" t="s">
        <v>139</v>
      </c>
      <c r="AY12" s="59" t="s">
        <v>116</v>
      </c>
      <c r="AZ12" s="33"/>
      <c r="BA12" s="36"/>
      <c r="BB12" s="36"/>
      <c r="BC12" s="36"/>
      <c r="BD12" s="25" t="s">
        <v>788</v>
      </c>
      <c r="BE12" s="35" t="s">
        <v>686</v>
      </c>
      <c r="BF12" s="59" t="s">
        <v>628</v>
      </c>
      <c r="BG12" s="33"/>
      <c r="BH12" s="25" t="s">
        <v>468</v>
      </c>
      <c r="BI12" s="26" t="s">
        <v>712</v>
      </c>
      <c r="BJ12" s="59" t="s">
        <v>984</v>
      </c>
      <c r="BK12" s="35" t="s">
        <v>692</v>
      </c>
      <c r="BL12" s="34" t="s">
        <v>140</v>
      </c>
      <c r="BM12" s="59" t="s">
        <v>6</v>
      </c>
      <c r="BN12" s="33"/>
      <c r="BO12" s="34" t="s">
        <v>935</v>
      </c>
      <c r="BP12" s="26" t="s">
        <v>721</v>
      </c>
      <c r="BQ12" s="59" t="s">
        <v>443</v>
      </c>
      <c r="BR12" s="34" t="s">
        <v>740</v>
      </c>
      <c r="BS12" s="34" t="s">
        <v>750</v>
      </c>
      <c r="BT12" s="59" t="s">
        <v>6</v>
      </c>
      <c r="BU12" s="33"/>
      <c r="BV12" s="34" t="s">
        <v>639</v>
      </c>
      <c r="BW12" s="27" t="s">
        <v>714</v>
      </c>
      <c r="BX12" s="59" t="s">
        <v>443</v>
      </c>
      <c r="BY12" s="35" t="s">
        <v>755</v>
      </c>
      <c r="BZ12" s="34" t="s">
        <v>763</v>
      </c>
      <c r="CA12" s="59" t="s">
        <v>1018</v>
      </c>
      <c r="CB12" s="33"/>
      <c r="CC12" s="36"/>
      <c r="CD12" s="37" t="s">
        <v>455</v>
      </c>
      <c r="CE12" s="60" t="s">
        <v>612</v>
      </c>
      <c r="CF12" s="38"/>
      <c r="CG12" s="39" t="s">
        <v>513</v>
      </c>
      <c r="CH12" s="68" t="s">
        <v>615</v>
      </c>
      <c r="CI12" s="36"/>
      <c r="CJ12" s="40" t="s">
        <v>555</v>
      </c>
      <c r="CK12" s="76" t="s">
        <v>607</v>
      </c>
      <c r="CL12" s="38" t="s">
        <v>436</v>
      </c>
      <c r="CM12" s="41" t="s">
        <v>535</v>
      </c>
      <c r="CN12" s="79" t="s">
        <v>441</v>
      </c>
      <c r="CO12" s="33"/>
      <c r="CP12" s="46" t="s">
        <v>581</v>
      </c>
      <c r="CQ12" s="46" t="s">
        <v>575</v>
      </c>
      <c r="CR12" s="54" t="s">
        <v>442</v>
      </c>
      <c r="CS12" s="46" t="s">
        <v>588</v>
      </c>
      <c r="CT12" s="46" t="s">
        <v>589</v>
      </c>
      <c r="CU12" s="54" t="s">
        <v>442</v>
      </c>
    </row>
    <row r="13" spans="2:99" ht="18" thickBot="1">
      <c r="B13" s="234"/>
      <c r="C13" s="84" t="s">
        <v>1056</v>
      </c>
      <c r="D13" s="85"/>
      <c r="E13" s="85"/>
      <c r="F13" s="85"/>
      <c r="G13" s="85"/>
      <c r="H13" s="85"/>
      <c r="I13" s="85"/>
      <c r="J13" s="85">
        <v>0</v>
      </c>
      <c r="K13" s="85">
        <v>0</v>
      </c>
      <c r="L13" s="85">
        <v>0</v>
      </c>
      <c r="M13" s="85">
        <v>0</v>
      </c>
      <c r="N13" s="85">
        <v>1</v>
      </c>
      <c r="O13" s="85">
        <v>2</v>
      </c>
      <c r="P13" s="86">
        <f t="shared" si="3"/>
        <v>3</v>
      </c>
      <c r="Q13" s="94"/>
      <c r="R13" s="36"/>
      <c r="S13" s="36"/>
      <c r="T13" s="36"/>
      <c r="U13" s="101" t="s">
        <v>1106</v>
      </c>
      <c r="V13" s="106" t="s">
        <v>77</v>
      </c>
      <c r="W13" s="54" t="s">
        <v>442</v>
      </c>
      <c r="X13" s="96"/>
      <c r="Y13" s="34"/>
      <c r="Z13" s="34"/>
      <c r="AA13" s="34"/>
      <c r="AB13" s="67" t="s">
        <v>1110</v>
      </c>
      <c r="AC13" s="28" t="s">
        <v>128</v>
      </c>
      <c r="AD13" s="56" t="s">
        <v>444</v>
      </c>
      <c r="AF13" s="36"/>
      <c r="AG13" s="36"/>
      <c r="AH13" s="36"/>
      <c r="AI13" s="25" t="s">
        <v>796</v>
      </c>
      <c r="AJ13" s="35" t="s">
        <v>22</v>
      </c>
      <c r="AK13" s="59" t="s">
        <v>978</v>
      </c>
      <c r="AL13" s="33"/>
      <c r="AM13" s="36"/>
      <c r="AN13" s="36"/>
      <c r="AO13" s="36"/>
      <c r="AP13" s="34" t="s">
        <v>896</v>
      </c>
      <c r="AQ13" s="35" t="s">
        <v>42</v>
      </c>
      <c r="AR13" s="59" t="s">
        <v>628</v>
      </c>
      <c r="AS13" s="33"/>
      <c r="AT13" s="36"/>
      <c r="AU13" s="36"/>
      <c r="AV13" s="36"/>
      <c r="AW13" s="34" t="s">
        <v>852</v>
      </c>
      <c r="AX13" s="35" t="s">
        <v>129</v>
      </c>
      <c r="AY13" s="59" t="s">
        <v>999</v>
      </c>
      <c r="AZ13" s="33"/>
      <c r="BA13" s="36"/>
      <c r="BB13" s="36"/>
      <c r="BC13" s="36"/>
      <c r="BD13" s="34" t="s">
        <v>789</v>
      </c>
      <c r="BE13" s="35" t="s">
        <v>38</v>
      </c>
      <c r="BF13" s="59" t="s">
        <v>628</v>
      </c>
      <c r="BG13" s="33"/>
      <c r="BH13" s="25" t="s">
        <v>934</v>
      </c>
      <c r="BI13" s="25" t="s">
        <v>651</v>
      </c>
      <c r="BJ13" s="59" t="s">
        <v>116</v>
      </c>
      <c r="BK13" s="35" t="s">
        <v>725</v>
      </c>
      <c r="BL13" s="34" t="s">
        <v>728</v>
      </c>
      <c r="BM13" s="59" t="s">
        <v>6</v>
      </c>
      <c r="BN13" s="33"/>
      <c r="BO13" s="34" t="s">
        <v>936</v>
      </c>
      <c r="BP13" s="27" t="s">
        <v>701</v>
      </c>
      <c r="BQ13" s="59" t="s">
        <v>443</v>
      </c>
      <c r="BR13" s="34" t="s">
        <v>742</v>
      </c>
      <c r="BS13" s="34" t="s">
        <v>739</v>
      </c>
      <c r="BT13" s="54" t="s">
        <v>8</v>
      </c>
      <c r="BU13" s="33"/>
      <c r="BV13" s="34" t="s">
        <v>958</v>
      </c>
      <c r="BW13" s="25" t="s">
        <v>700</v>
      </c>
      <c r="BX13" s="59" t="s">
        <v>443</v>
      </c>
      <c r="BY13" s="35" t="s">
        <v>756</v>
      </c>
      <c r="BZ13" s="34" t="s">
        <v>765</v>
      </c>
      <c r="CA13" s="59" t="s">
        <v>1020</v>
      </c>
      <c r="CB13" s="33"/>
      <c r="CC13" s="36" t="s">
        <v>464</v>
      </c>
      <c r="CD13" s="37" t="s">
        <v>456</v>
      </c>
      <c r="CE13" s="60" t="s">
        <v>611</v>
      </c>
      <c r="CF13" s="38"/>
      <c r="CG13" s="39" t="s">
        <v>514</v>
      </c>
      <c r="CH13" s="68" t="s">
        <v>619</v>
      </c>
      <c r="CI13" s="36" t="s">
        <v>553</v>
      </c>
      <c r="CJ13" s="40" t="s">
        <v>556</v>
      </c>
      <c r="CK13" s="76" t="s">
        <v>607</v>
      </c>
      <c r="CL13" s="38" t="s">
        <v>545</v>
      </c>
      <c r="CM13" s="41" t="s">
        <v>537</v>
      </c>
      <c r="CN13" s="79" t="s">
        <v>615</v>
      </c>
      <c r="CO13" s="33"/>
      <c r="CP13" s="46" t="s">
        <v>590</v>
      </c>
      <c r="CQ13" s="46" t="s">
        <v>586</v>
      </c>
      <c r="CR13" s="59" t="s">
        <v>116</v>
      </c>
      <c r="CS13" s="46" t="s">
        <v>603</v>
      </c>
      <c r="CT13" s="46" t="s">
        <v>595</v>
      </c>
      <c r="CU13" s="54" t="s">
        <v>442</v>
      </c>
    </row>
    <row r="14" spans="2:99" ht="18" thickBot="1">
      <c r="B14" s="235"/>
      <c r="C14" s="87" t="s">
        <v>1058</v>
      </c>
      <c r="D14" s="88">
        <f>SUM(D10:D13)</f>
        <v>0</v>
      </c>
      <c r="E14" s="88">
        <f t="shared" ref="E14:I14" si="4">SUM(E10:E13)</f>
        <v>0</v>
      </c>
      <c r="F14" s="88">
        <f t="shared" si="4"/>
        <v>0</v>
      </c>
      <c r="G14" s="88">
        <f t="shared" si="4"/>
        <v>1</v>
      </c>
      <c r="H14" s="88">
        <f t="shared" si="4"/>
        <v>0</v>
      </c>
      <c r="I14" s="88">
        <f t="shared" si="4"/>
        <v>0</v>
      </c>
      <c r="J14" s="88">
        <f>SUM(J10:J13)</f>
        <v>5</v>
      </c>
      <c r="K14" s="88">
        <f t="shared" ref="K14:O14" si="5">SUM(K10:K13)</f>
        <v>24</v>
      </c>
      <c r="L14" s="88">
        <f t="shared" si="5"/>
        <v>16</v>
      </c>
      <c r="M14" s="88">
        <f t="shared" si="5"/>
        <v>14</v>
      </c>
      <c r="N14" s="88">
        <f t="shared" si="5"/>
        <v>12</v>
      </c>
      <c r="O14" s="88">
        <f t="shared" si="5"/>
        <v>12</v>
      </c>
      <c r="P14" s="89"/>
      <c r="Q14" s="95"/>
      <c r="R14" s="36"/>
      <c r="S14" s="36"/>
      <c r="T14" s="36"/>
      <c r="U14" s="101" t="s">
        <v>1106</v>
      </c>
      <c r="V14" s="100" t="s">
        <v>95</v>
      </c>
      <c r="W14" s="54" t="s">
        <v>442</v>
      </c>
      <c r="X14" s="107"/>
      <c r="Y14" s="34"/>
      <c r="Z14" s="34"/>
      <c r="AA14" s="34"/>
      <c r="AB14" s="67" t="s">
        <v>1111</v>
      </c>
      <c r="AC14" s="28" t="s">
        <v>89</v>
      </c>
      <c r="AD14" s="54" t="s">
        <v>442</v>
      </c>
      <c r="AF14" s="36"/>
      <c r="AG14" s="36"/>
      <c r="AH14" s="36"/>
      <c r="AI14" s="25" t="s">
        <v>854</v>
      </c>
      <c r="AJ14" s="35" t="s">
        <v>99</v>
      </c>
      <c r="AK14" s="59" t="s">
        <v>628</v>
      </c>
      <c r="AL14" s="33"/>
      <c r="AM14" s="36"/>
      <c r="AN14" s="36"/>
      <c r="AO14" s="36"/>
      <c r="AP14" s="34" t="s">
        <v>897</v>
      </c>
      <c r="AQ14" s="35" t="s">
        <v>57</v>
      </c>
      <c r="AR14" s="59" t="s">
        <v>990</v>
      </c>
      <c r="AS14" s="33"/>
      <c r="AT14" s="36"/>
      <c r="AU14" s="36"/>
      <c r="AV14" s="36"/>
      <c r="AW14" s="25" t="s">
        <v>798</v>
      </c>
      <c r="AX14" s="35" t="s">
        <v>115</v>
      </c>
      <c r="AY14" s="59" t="s">
        <v>1000</v>
      </c>
      <c r="AZ14" s="33"/>
      <c r="BA14" s="36"/>
      <c r="BB14" s="36"/>
      <c r="BC14" s="36"/>
      <c r="BD14" s="34" t="s">
        <v>790</v>
      </c>
      <c r="BE14" s="35" t="s">
        <v>687</v>
      </c>
      <c r="BF14" s="59" t="s">
        <v>974</v>
      </c>
      <c r="BG14" s="33"/>
      <c r="BH14" s="25" t="s">
        <v>469</v>
      </c>
      <c r="BI14" s="26" t="s">
        <v>717</v>
      </c>
      <c r="BJ14" s="59" t="s">
        <v>1023</v>
      </c>
      <c r="BK14" s="35" t="s">
        <v>726</v>
      </c>
      <c r="BL14" s="34" t="s">
        <v>30</v>
      </c>
      <c r="BM14" s="59" t="s">
        <v>6</v>
      </c>
      <c r="BN14" s="33"/>
      <c r="BO14" s="34" t="s">
        <v>937</v>
      </c>
      <c r="BP14" s="25" t="s">
        <v>648</v>
      </c>
      <c r="BQ14" s="59" t="s">
        <v>1025</v>
      </c>
      <c r="BR14" s="34" t="s">
        <v>743</v>
      </c>
      <c r="BS14" s="34" t="s">
        <v>741</v>
      </c>
      <c r="BT14" s="54" t="s">
        <v>8</v>
      </c>
      <c r="BU14" s="33"/>
      <c r="BV14" s="34" t="s">
        <v>959</v>
      </c>
      <c r="BW14" s="25" t="s">
        <v>673</v>
      </c>
      <c r="BX14" s="59" t="s">
        <v>443</v>
      </c>
      <c r="BY14" s="35" t="s">
        <v>758</v>
      </c>
      <c r="BZ14" s="34" t="s">
        <v>773</v>
      </c>
      <c r="CA14" s="59" t="s">
        <v>1018</v>
      </c>
      <c r="CB14" s="33"/>
      <c r="CC14" s="36" t="s">
        <v>465</v>
      </c>
      <c r="CD14" s="37" t="s">
        <v>458</v>
      </c>
      <c r="CE14" s="60" t="s">
        <v>613</v>
      </c>
      <c r="CF14" s="38"/>
      <c r="CG14" s="39" t="s">
        <v>477</v>
      </c>
      <c r="CH14" s="68" t="s">
        <v>618</v>
      </c>
      <c r="CI14" s="36" t="s">
        <v>219</v>
      </c>
      <c r="CJ14" s="40" t="s">
        <v>557</v>
      </c>
      <c r="CK14" s="56" t="s">
        <v>444</v>
      </c>
      <c r="CL14" s="38"/>
      <c r="CM14" s="41" t="s">
        <v>536</v>
      </c>
      <c r="CN14" s="79" t="s">
        <v>441</v>
      </c>
      <c r="CO14" s="33"/>
      <c r="CP14" s="46" t="s">
        <v>598</v>
      </c>
      <c r="CQ14" s="46" t="s">
        <v>587</v>
      </c>
      <c r="CR14" s="56" t="s">
        <v>444</v>
      </c>
      <c r="CS14" s="46" t="s">
        <v>1075</v>
      </c>
      <c r="CT14" s="46" t="s">
        <v>1060</v>
      </c>
      <c r="CU14" s="59" t="s">
        <v>116</v>
      </c>
    </row>
    <row r="15" spans="2:99" ht="17.25">
      <c r="R15" s="33"/>
      <c r="S15" s="33"/>
      <c r="T15" s="33"/>
      <c r="U15" s="242"/>
      <c r="V15" s="242"/>
      <c r="W15" s="242"/>
      <c r="X15" s="73"/>
      <c r="Y15" s="34"/>
      <c r="Z15" s="34"/>
      <c r="AA15" s="34"/>
      <c r="AB15" s="67" t="s">
        <v>1112</v>
      </c>
      <c r="AC15" s="28" t="s">
        <v>170</v>
      </c>
      <c r="AD15" s="59" t="s">
        <v>116</v>
      </c>
      <c r="AF15" s="36"/>
      <c r="AG15" s="36"/>
      <c r="AH15" s="36"/>
      <c r="AI15" s="25" t="s">
        <v>855</v>
      </c>
      <c r="AJ15" s="35" t="s">
        <v>65</v>
      </c>
      <c r="AK15" s="59" t="s">
        <v>116</v>
      </c>
      <c r="AL15" s="33"/>
      <c r="AM15" s="36"/>
      <c r="AN15" s="36"/>
      <c r="AO15" s="36"/>
      <c r="AP15" s="34" t="s">
        <v>898</v>
      </c>
      <c r="AQ15" s="35" t="s">
        <v>658</v>
      </c>
      <c r="AR15" s="59" t="s">
        <v>988</v>
      </c>
      <c r="AS15" s="33"/>
      <c r="AT15" s="36"/>
      <c r="AU15" s="36"/>
      <c r="AV15" s="36"/>
      <c r="AW15" s="34" t="s">
        <v>853</v>
      </c>
      <c r="AX15" s="35" t="s">
        <v>671</v>
      </c>
      <c r="AY15" s="59" t="s">
        <v>999</v>
      </c>
      <c r="AZ15" s="33"/>
      <c r="BA15" s="36"/>
      <c r="BB15" s="36"/>
      <c r="BC15" s="36"/>
      <c r="BD15" s="34" t="s">
        <v>791</v>
      </c>
      <c r="BE15" s="35" t="s">
        <v>688</v>
      </c>
      <c r="BF15" s="59" t="s">
        <v>628</v>
      </c>
      <c r="BG15" s="33"/>
      <c r="BH15" s="36"/>
      <c r="BI15" s="36"/>
      <c r="BJ15" s="34"/>
      <c r="BK15" s="35" t="s">
        <v>598</v>
      </c>
      <c r="BL15" s="34" t="s">
        <v>26</v>
      </c>
      <c r="BM15" s="59" t="s">
        <v>6</v>
      </c>
      <c r="BN15" s="33"/>
      <c r="BO15" s="34" t="s">
        <v>937</v>
      </c>
      <c r="BP15" s="27" t="s">
        <v>708</v>
      </c>
      <c r="BQ15" s="59" t="s">
        <v>443</v>
      </c>
      <c r="BR15" s="34" t="s">
        <v>744</v>
      </c>
      <c r="BS15" s="34" t="s">
        <v>27</v>
      </c>
      <c r="BT15" s="54" t="s">
        <v>8</v>
      </c>
      <c r="BU15" s="33"/>
      <c r="BV15" s="34" t="s">
        <v>659</v>
      </c>
      <c r="BW15" s="25" t="s">
        <v>678</v>
      </c>
      <c r="BX15" s="59" t="s">
        <v>443</v>
      </c>
      <c r="BY15" s="35" t="s">
        <v>760</v>
      </c>
      <c r="BZ15" s="34" t="s">
        <v>775</v>
      </c>
      <c r="CA15" s="59" t="s">
        <v>1018</v>
      </c>
      <c r="CB15" s="33"/>
      <c r="CC15" s="36" t="s">
        <v>466</v>
      </c>
      <c r="CD15" s="37" t="s">
        <v>461</v>
      </c>
      <c r="CE15" s="60" t="s">
        <v>611</v>
      </c>
      <c r="CF15" s="38" t="s">
        <v>518</v>
      </c>
      <c r="CG15" s="39" t="s">
        <v>473</v>
      </c>
      <c r="CH15" s="69" t="s">
        <v>607</v>
      </c>
      <c r="CI15" s="36"/>
      <c r="CJ15" s="40" t="s">
        <v>437</v>
      </c>
      <c r="CK15" s="76" t="s">
        <v>607</v>
      </c>
      <c r="CL15" s="38"/>
      <c r="CM15" s="41" t="s">
        <v>538</v>
      </c>
      <c r="CN15" s="54" t="s">
        <v>442</v>
      </c>
      <c r="CO15" s="33"/>
      <c r="CP15" s="51" t="s">
        <v>599</v>
      </c>
      <c r="CQ15" s="46" t="s">
        <v>600</v>
      </c>
      <c r="CR15" s="54" t="s">
        <v>442</v>
      </c>
      <c r="CS15" s="46" t="s">
        <v>1061</v>
      </c>
      <c r="CT15" s="46" t="s">
        <v>1062</v>
      </c>
      <c r="CU15" s="54" t="s">
        <v>442</v>
      </c>
    </row>
    <row r="16" spans="2:99" ht="17.25">
      <c r="R16" s="33"/>
      <c r="S16" s="33"/>
      <c r="T16" s="33"/>
      <c r="U16" s="33"/>
      <c r="V16" s="33"/>
      <c r="W16" s="33"/>
      <c r="X16" s="73"/>
      <c r="Y16" s="34"/>
      <c r="Z16" s="34"/>
      <c r="AA16" s="34"/>
      <c r="AB16" s="67" t="s">
        <v>1113</v>
      </c>
      <c r="AC16" s="28" t="s">
        <v>86</v>
      </c>
      <c r="AD16" s="54" t="s">
        <v>442</v>
      </c>
      <c r="AF16" s="36"/>
      <c r="AG16" s="36"/>
      <c r="AH16" s="36"/>
      <c r="AI16" s="34" t="s">
        <v>913</v>
      </c>
      <c r="AJ16" s="35" t="s">
        <v>166</v>
      </c>
      <c r="AK16" s="59" t="s">
        <v>628</v>
      </c>
      <c r="AL16" s="33"/>
      <c r="AM16" s="36"/>
      <c r="AN16" s="36"/>
      <c r="AO16" s="36"/>
      <c r="AP16" s="34" t="s">
        <v>899</v>
      </c>
      <c r="AQ16" s="35" t="s">
        <v>660</v>
      </c>
      <c r="AR16" s="59" t="s">
        <v>990</v>
      </c>
      <c r="AS16" s="33"/>
      <c r="AT16" s="36"/>
      <c r="AU16" s="36"/>
      <c r="AV16" s="36"/>
      <c r="AW16" s="34" t="s">
        <v>854</v>
      </c>
      <c r="AX16" s="35" t="s">
        <v>672</v>
      </c>
      <c r="AY16" s="59" t="s">
        <v>628</v>
      </c>
      <c r="AZ16" s="33"/>
      <c r="BA16" s="36"/>
      <c r="BB16" s="36"/>
      <c r="BC16" s="36"/>
      <c r="BD16" s="34" t="s">
        <v>792</v>
      </c>
      <c r="BE16" s="35" t="s">
        <v>689</v>
      </c>
      <c r="BF16" s="59" t="s">
        <v>628</v>
      </c>
      <c r="BG16" s="33"/>
      <c r="BH16" s="36"/>
      <c r="BI16" s="36"/>
      <c r="BJ16" s="34"/>
      <c r="BK16" s="35" t="s">
        <v>640</v>
      </c>
      <c r="BL16" s="34" t="s">
        <v>84</v>
      </c>
      <c r="BM16" s="54" t="s">
        <v>8</v>
      </c>
      <c r="BN16" s="33"/>
      <c r="BO16" s="34" t="s">
        <v>938</v>
      </c>
      <c r="BP16" s="25" t="s">
        <v>679</v>
      </c>
      <c r="BQ16" s="59" t="s">
        <v>443</v>
      </c>
      <c r="BR16" s="24" t="s">
        <v>745</v>
      </c>
      <c r="BS16" s="34" t="s">
        <v>90</v>
      </c>
      <c r="BT16" s="54" t="s">
        <v>8</v>
      </c>
      <c r="BU16" s="33"/>
      <c r="BV16" s="34" t="s">
        <v>960</v>
      </c>
      <c r="BW16" s="28" t="s">
        <v>676</v>
      </c>
      <c r="BX16" s="59" t="s">
        <v>443</v>
      </c>
      <c r="BY16" s="35" t="s">
        <v>762</v>
      </c>
      <c r="BZ16" s="34" t="s">
        <v>777</v>
      </c>
      <c r="CA16" s="59" t="s">
        <v>1018</v>
      </c>
      <c r="CB16" s="33"/>
      <c r="CC16" s="36" t="s">
        <v>467</v>
      </c>
      <c r="CD16" s="37" t="s">
        <v>462</v>
      </c>
      <c r="CE16" s="60" t="s">
        <v>611</v>
      </c>
      <c r="CF16" s="38"/>
      <c r="CG16" s="39" t="s">
        <v>479</v>
      </c>
      <c r="CH16" s="69" t="s">
        <v>617</v>
      </c>
      <c r="CI16" s="36" t="s">
        <v>554</v>
      </c>
      <c r="CJ16" s="40" t="s">
        <v>1065</v>
      </c>
      <c r="CK16" s="54" t="s">
        <v>442</v>
      </c>
      <c r="CL16" s="38" t="s">
        <v>546</v>
      </c>
      <c r="CM16" s="41" t="s">
        <v>539</v>
      </c>
      <c r="CN16" s="79" t="s">
        <v>441</v>
      </c>
      <c r="CO16" s="33"/>
      <c r="CP16" s="51" t="s">
        <v>601</v>
      </c>
      <c r="CQ16" s="46" t="s">
        <v>602</v>
      </c>
      <c r="CR16" s="56" t="s">
        <v>444</v>
      </c>
      <c r="CS16" s="92" t="s">
        <v>1076</v>
      </c>
      <c r="CT16" s="92" t="s">
        <v>1083</v>
      </c>
      <c r="CU16" s="54" t="s">
        <v>442</v>
      </c>
    </row>
    <row r="17" spans="18:99" ht="17.25">
      <c r="R17" s="33"/>
      <c r="S17" s="33"/>
      <c r="T17" s="33"/>
      <c r="U17" s="33"/>
      <c r="V17" s="33"/>
      <c r="W17" s="33"/>
      <c r="X17" s="73"/>
      <c r="Y17" s="34"/>
      <c r="Z17" s="34"/>
      <c r="AA17" s="34"/>
      <c r="AB17" s="67" t="s">
        <v>1114</v>
      </c>
      <c r="AC17" s="28" t="s">
        <v>1101</v>
      </c>
      <c r="AD17" s="54" t="s">
        <v>442</v>
      </c>
      <c r="AF17" s="36"/>
      <c r="AG17" s="36"/>
      <c r="AH17" s="36"/>
      <c r="AI17" s="34" t="s">
        <v>855</v>
      </c>
      <c r="AJ17" s="24" t="s">
        <v>648</v>
      </c>
      <c r="AK17" s="59" t="s">
        <v>981</v>
      </c>
      <c r="AL17" s="33"/>
      <c r="AM17" s="36"/>
      <c r="AN17" s="36"/>
      <c r="AO17" s="36"/>
      <c r="AP17" s="34" t="s">
        <v>792</v>
      </c>
      <c r="AQ17" s="35" t="s">
        <v>94</v>
      </c>
      <c r="AR17" s="59" t="s">
        <v>992</v>
      </c>
      <c r="AS17" s="33"/>
      <c r="AT17" s="36"/>
      <c r="AU17" s="36"/>
      <c r="AV17" s="36"/>
      <c r="AW17" s="34" t="s">
        <v>799</v>
      </c>
      <c r="AX17" s="35" t="s">
        <v>186</v>
      </c>
      <c r="AY17" s="59" t="s">
        <v>999</v>
      </c>
      <c r="AZ17" s="33"/>
      <c r="BA17" s="36"/>
      <c r="BB17" s="36"/>
      <c r="BC17" s="36"/>
      <c r="BD17" s="34" t="s">
        <v>793</v>
      </c>
      <c r="BE17" s="35" t="s">
        <v>28</v>
      </c>
      <c r="BF17" s="59" t="s">
        <v>628</v>
      </c>
      <c r="BG17" s="33"/>
      <c r="BH17" s="36"/>
      <c r="BI17" s="36"/>
      <c r="BJ17" s="34"/>
      <c r="BK17" s="35" t="s">
        <v>729</v>
      </c>
      <c r="BL17" s="34" t="s">
        <v>81</v>
      </c>
      <c r="BM17" s="54" t="s">
        <v>1030</v>
      </c>
      <c r="BN17" s="33"/>
      <c r="BO17" s="34" t="s">
        <v>939</v>
      </c>
      <c r="BP17" s="27" t="s">
        <v>702</v>
      </c>
      <c r="BQ17" s="59" t="s">
        <v>443</v>
      </c>
      <c r="BR17" s="35" t="s">
        <v>746</v>
      </c>
      <c r="BS17" s="25" t="s">
        <v>58</v>
      </c>
      <c r="BT17" s="54" t="s">
        <v>8</v>
      </c>
      <c r="BU17" s="33"/>
      <c r="BV17" s="34" t="s">
        <v>915</v>
      </c>
      <c r="BW17" s="25" t="s">
        <v>636</v>
      </c>
      <c r="BX17" s="59" t="s">
        <v>6</v>
      </c>
      <c r="BY17" s="35" t="s">
        <v>764</v>
      </c>
      <c r="BZ17" s="34" t="s">
        <v>783</v>
      </c>
      <c r="CA17" s="59" t="s">
        <v>443</v>
      </c>
      <c r="CB17" s="33"/>
      <c r="CC17" s="36"/>
      <c r="CD17" s="37" t="s">
        <v>452</v>
      </c>
      <c r="CE17" s="55" t="s">
        <v>609</v>
      </c>
      <c r="CF17" s="38"/>
      <c r="CG17" s="39" t="s">
        <v>507</v>
      </c>
      <c r="CH17" s="69" t="s">
        <v>611</v>
      </c>
      <c r="CI17" s="36" t="s">
        <v>439</v>
      </c>
      <c r="CJ17" s="40" t="s">
        <v>438</v>
      </c>
      <c r="CK17" s="76" t="s">
        <v>611</v>
      </c>
      <c r="CL17" s="38"/>
      <c r="CM17" s="41" t="s">
        <v>540</v>
      </c>
      <c r="CN17" s="54" t="s">
        <v>442</v>
      </c>
      <c r="CO17" s="33"/>
      <c r="CP17" s="92" t="s">
        <v>1077</v>
      </c>
      <c r="CQ17" s="92" t="s">
        <v>1096</v>
      </c>
      <c r="CR17" s="59" t="s">
        <v>116</v>
      </c>
      <c r="CS17" s="92" t="s">
        <v>1080</v>
      </c>
      <c r="CT17" s="92" t="s">
        <v>1084</v>
      </c>
      <c r="CU17" s="90" t="s">
        <v>217</v>
      </c>
    </row>
    <row r="18" spans="18:99" ht="17.25">
      <c r="R18" s="33"/>
      <c r="S18" s="33"/>
      <c r="T18" s="33"/>
      <c r="U18" s="33"/>
      <c r="V18" s="33"/>
      <c r="W18" s="33"/>
      <c r="X18" s="73"/>
      <c r="Y18" s="34"/>
      <c r="Z18" s="34"/>
      <c r="AA18" s="34"/>
      <c r="AB18" s="67" t="s">
        <v>1115</v>
      </c>
      <c r="AC18" s="28" t="s">
        <v>636</v>
      </c>
      <c r="AD18" s="59" t="s">
        <v>116</v>
      </c>
      <c r="AF18" s="36"/>
      <c r="AG18" s="36"/>
      <c r="AH18" s="36"/>
      <c r="AI18" s="34" t="s">
        <v>914</v>
      </c>
      <c r="AJ18" s="24" t="s">
        <v>651</v>
      </c>
      <c r="AK18" s="59" t="s">
        <v>984</v>
      </c>
      <c r="AL18" s="33"/>
      <c r="AM18" s="36"/>
      <c r="AN18" s="36"/>
      <c r="AO18" s="36"/>
      <c r="AP18" s="34" t="s">
        <v>797</v>
      </c>
      <c r="AQ18" s="35" t="s">
        <v>155</v>
      </c>
      <c r="AR18" s="59" t="s">
        <v>628</v>
      </c>
      <c r="AS18" s="33"/>
      <c r="AT18" s="36"/>
      <c r="AU18" s="36"/>
      <c r="AV18" s="36"/>
      <c r="AW18" s="34" t="s">
        <v>855</v>
      </c>
      <c r="AX18" s="35" t="s">
        <v>673</v>
      </c>
      <c r="AY18" s="59" t="s">
        <v>974</v>
      </c>
      <c r="AZ18" s="33"/>
      <c r="BA18" s="36"/>
      <c r="BB18" s="36"/>
      <c r="BC18" s="36"/>
      <c r="BD18" s="34" t="s">
        <v>794</v>
      </c>
      <c r="BE18" s="35" t="s">
        <v>72</v>
      </c>
      <c r="BF18" s="59" t="s">
        <v>628</v>
      </c>
      <c r="BG18" s="33"/>
      <c r="BH18" s="36"/>
      <c r="BI18" s="36"/>
      <c r="BJ18" s="34"/>
      <c r="BK18" s="35" t="s">
        <v>730</v>
      </c>
      <c r="BL18" s="34" t="s">
        <v>122</v>
      </c>
      <c r="BM18" s="54" t="s">
        <v>8</v>
      </c>
      <c r="BN18" s="33"/>
      <c r="BO18" s="34" t="s">
        <v>940</v>
      </c>
      <c r="BP18" s="27" t="s">
        <v>690</v>
      </c>
      <c r="BQ18" s="59" t="s">
        <v>443</v>
      </c>
      <c r="BR18" s="35" t="s">
        <v>748</v>
      </c>
      <c r="BS18" s="34" t="s">
        <v>138</v>
      </c>
      <c r="BT18" s="54" t="s">
        <v>442</v>
      </c>
      <c r="BU18" s="33"/>
      <c r="BV18" s="34" t="s">
        <v>961</v>
      </c>
      <c r="BW18" s="30" t="s">
        <v>684</v>
      </c>
      <c r="BX18" s="59" t="s">
        <v>6</v>
      </c>
      <c r="BY18" s="35" t="s">
        <v>766</v>
      </c>
      <c r="BZ18" s="34" t="s">
        <v>35</v>
      </c>
      <c r="CA18" s="54" t="s">
        <v>8</v>
      </c>
      <c r="CB18" s="33"/>
      <c r="CC18" s="36" t="s">
        <v>468</v>
      </c>
      <c r="CD18" s="37" t="s">
        <v>457</v>
      </c>
      <c r="CE18" s="55" t="s">
        <v>609</v>
      </c>
      <c r="CF18" s="38"/>
      <c r="CG18" s="39" t="s">
        <v>456</v>
      </c>
      <c r="CH18" s="69" t="s">
        <v>624</v>
      </c>
      <c r="CI18" s="36" t="s">
        <v>233</v>
      </c>
      <c r="CJ18" s="40" t="s">
        <v>1066</v>
      </c>
      <c r="CK18" s="76" t="s">
        <v>625</v>
      </c>
      <c r="CL18" s="38" t="s">
        <v>627</v>
      </c>
      <c r="CM18" s="41" t="s">
        <v>423</v>
      </c>
      <c r="CN18" s="79" t="s">
        <v>441</v>
      </c>
      <c r="CO18" s="33"/>
      <c r="CP18" s="92" t="s">
        <v>1094</v>
      </c>
      <c r="CQ18" s="92" t="s">
        <v>1095</v>
      </c>
      <c r="CR18" s="90" t="s">
        <v>217</v>
      </c>
      <c r="CS18" s="92" t="s">
        <v>1085</v>
      </c>
      <c r="CT18" s="92" t="s">
        <v>1086</v>
      </c>
      <c r="CU18" s="54" t="s">
        <v>442</v>
      </c>
    </row>
    <row r="19" spans="18:99" ht="17.25">
      <c r="R19" s="33"/>
      <c r="S19" s="33"/>
      <c r="T19" s="33"/>
      <c r="U19" s="33"/>
      <c r="V19" s="33"/>
      <c r="W19" s="33"/>
      <c r="X19" s="73"/>
      <c r="Y19" s="34"/>
      <c r="Z19" s="34"/>
      <c r="AA19" s="34"/>
      <c r="AB19" s="67" t="s">
        <v>1116</v>
      </c>
      <c r="AC19" s="28" t="s">
        <v>149</v>
      </c>
      <c r="AD19" s="54" t="s">
        <v>442</v>
      </c>
      <c r="AF19" s="36"/>
      <c r="AG19" s="36"/>
      <c r="AH19" s="36"/>
      <c r="AI19" s="34" t="s">
        <v>905</v>
      </c>
      <c r="AJ19" s="24" t="s">
        <v>61</v>
      </c>
      <c r="AK19" s="54" t="s">
        <v>631</v>
      </c>
      <c r="AL19" s="33"/>
      <c r="AM19" s="36"/>
      <c r="AN19" s="36"/>
      <c r="AO19" s="36"/>
      <c r="AP19" s="34" t="s">
        <v>796</v>
      </c>
      <c r="AQ19" s="35" t="s">
        <v>188</v>
      </c>
      <c r="AR19" s="59" t="s">
        <v>628</v>
      </c>
      <c r="AS19" s="33"/>
      <c r="AT19" s="36"/>
      <c r="AU19" s="36"/>
      <c r="AV19" s="36"/>
      <c r="AW19" s="34" t="s">
        <v>855</v>
      </c>
      <c r="AX19" s="35" t="s">
        <v>82</v>
      </c>
      <c r="AY19" s="59" t="s">
        <v>999</v>
      </c>
      <c r="AZ19" s="33"/>
      <c r="BA19" s="36"/>
      <c r="BB19" s="36"/>
      <c r="BC19" s="36"/>
      <c r="BD19" s="34" t="s">
        <v>786</v>
      </c>
      <c r="BE19" s="35" t="s">
        <v>690</v>
      </c>
      <c r="BF19" s="59" t="s">
        <v>994</v>
      </c>
      <c r="BG19" s="33"/>
      <c r="BH19" s="36"/>
      <c r="BI19" s="36"/>
      <c r="BJ19" s="34"/>
      <c r="BK19" s="35" t="s">
        <v>705</v>
      </c>
      <c r="BL19" s="34" t="s">
        <v>11</v>
      </c>
      <c r="BM19" s="54" t="s">
        <v>8</v>
      </c>
      <c r="BN19" s="33"/>
      <c r="BO19" s="34" t="s">
        <v>941</v>
      </c>
      <c r="BP19" s="25" t="s">
        <v>643</v>
      </c>
      <c r="BQ19" s="59" t="s">
        <v>1025</v>
      </c>
      <c r="BR19" s="35" t="s">
        <v>749</v>
      </c>
      <c r="BS19" s="34" t="s">
        <v>132</v>
      </c>
      <c r="BT19" s="54" t="s">
        <v>1032</v>
      </c>
      <c r="BU19" s="33"/>
      <c r="BV19" s="34" t="s">
        <v>963</v>
      </c>
      <c r="BW19" s="30" t="s">
        <v>686</v>
      </c>
      <c r="BX19" s="59" t="s">
        <v>6</v>
      </c>
      <c r="BY19" s="35" t="s">
        <v>768</v>
      </c>
      <c r="BZ19" s="34" t="s">
        <v>62</v>
      </c>
      <c r="CA19" s="54" t="s">
        <v>442</v>
      </c>
      <c r="CB19" s="33"/>
      <c r="CC19" s="36"/>
      <c r="CD19" s="37" t="s">
        <v>460</v>
      </c>
      <c r="CE19" s="55" t="s">
        <v>614</v>
      </c>
      <c r="CF19" s="38"/>
      <c r="CG19" s="39" t="s">
        <v>517</v>
      </c>
      <c r="CH19" s="69" t="s">
        <v>612</v>
      </c>
      <c r="CI19" s="36" t="s">
        <v>562</v>
      </c>
      <c r="CJ19" s="40" t="s">
        <v>1067</v>
      </c>
      <c r="CK19" s="77" t="s">
        <v>626</v>
      </c>
      <c r="CL19" s="38" t="s">
        <v>547</v>
      </c>
      <c r="CM19" s="41" t="s">
        <v>541</v>
      </c>
      <c r="CN19" s="91" t="s">
        <v>1034</v>
      </c>
      <c r="CO19" s="33"/>
      <c r="CP19" s="92" t="s">
        <v>1099</v>
      </c>
      <c r="CQ19" s="92" t="s">
        <v>1100</v>
      </c>
      <c r="CR19" s="56" t="s">
        <v>444</v>
      </c>
      <c r="CS19" s="92" t="s">
        <v>1128</v>
      </c>
      <c r="CT19" s="92" t="s">
        <v>1129</v>
      </c>
      <c r="CU19" s="54" t="s">
        <v>442</v>
      </c>
    </row>
    <row r="20" spans="18:99" ht="17.25">
      <c r="R20" s="33"/>
      <c r="S20" s="33"/>
      <c r="T20" s="33"/>
      <c r="U20" s="33"/>
      <c r="V20" s="33"/>
      <c r="W20" s="33"/>
      <c r="X20" s="73"/>
      <c r="Y20" s="34"/>
      <c r="Z20" s="34"/>
      <c r="AA20" s="34"/>
      <c r="AB20" s="67" t="s">
        <v>1117</v>
      </c>
      <c r="AC20" s="28" t="s">
        <v>637</v>
      </c>
      <c r="AD20" s="54" t="s">
        <v>442</v>
      </c>
      <c r="AF20" s="36"/>
      <c r="AG20" s="36"/>
      <c r="AH20" s="36"/>
      <c r="AI20" s="34" t="s">
        <v>830</v>
      </c>
      <c r="AJ20" s="24" t="s">
        <v>172</v>
      </c>
      <c r="AK20" s="54" t="s">
        <v>1026</v>
      </c>
      <c r="AL20" s="33"/>
      <c r="AM20" s="36"/>
      <c r="AN20" s="36"/>
      <c r="AO20" s="36"/>
      <c r="AP20" s="34" t="s">
        <v>802</v>
      </c>
      <c r="AQ20" s="35" t="s">
        <v>663</v>
      </c>
      <c r="AR20" s="59" t="s">
        <v>628</v>
      </c>
      <c r="AS20" s="33"/>
      <c r="AT20" s="36"/>
      <c r="AU20" s="36"/>
      <c r="AV20" s="36"/>
      <c r="AW20" s="34" t="s">
        <v>856</v>
      </c>
      <c r="AX20" s="35" t="s">
        <v>124</v>
      </c>
      <c r="AY20" s="59" t="s">
        <v>1000</v>
      </c>
      <c r="AZ20" s="33"/>
      <c r="BA20" s="36"/>
      <c r="BB20" s="36"/>
      <c r="BC20" s="36"/>
      <c r="BD20" s="25" t="s">
        <v>795</v>
      </c>
      <c r="BE20" s="35" t="s">
        <v>691</v>
      </c>
      <c r="BF20" s="59" t="s">
        <v>994</v>
      </c>
      <c r="BG20" s="33"/>
      <c r="BH20" s="36"/>
      <c r="BI20" s="36"/>
      <c r="BJ20" s="34"/>
      <c r="BK20" s="35" t="s">
        <v>731</v>
      </c>
      <c r="BL20" s="34" t="s">
        <v>184</v>
      </c>
      <c r="BM20" s="54" t="s">
        <v>1017</v>
      </c>
      <c r="BN20" s="33"/>
      <c r="BO20" s="34" t="s">
        <v>942</v>
      </c>
      <c r="BP20" s="27" t="s">
        <v>689</v>
      </c>
      <c r="BQ20" s="59" t="s">
        <v>1025</v>
      </c>
      <c r="BR20" s="35" t="s">
        <v>751</v>
      </c>
      <c r="BS20" s="34" t="s">
        <v>41</v>
      </c>
      <c r="BT20" s="56" t="s">
        <v>5</v>
      </c>
      <c r="BU20" s="33"/>
      <c r="BV20" s="34" t="s">
        <v>964</v>
      </c>
      <c r="BW20" s="30" t="s">
        <v>703</v>
      </c>
      <c r="BX20" s="59" t="s">
        <v>443</v>
      </c>
      <c r="BY20" s="35" t="s">
        <v>770</v>
      </c>
      <c r="BZ20" s="34" t="s">
        <v>757</v>
      </c>
      <c r="CA20" s="54" t="s">
        <v>1019</v>
      </c>
      <c r="CB20" s="33"/>
      <c r="CC20" s="36"/>
      <c r="CD20" s="37" t="s">
        <v>450</v>
      </c>
      <c r="CE20" s="58" t="s">
        <v>608</v>
      </c>
      <c r="CF20" s="38"/>
      <c r="CG20" s="39" t="s">
        <v>474</v>
      </c>
      <c r="CH20" s="70" t="s">
        <v>616</v>
      </c>
      <c r="CI20" s="36"/>
      <c r="CJ20" s="40" t="s">
        <v>563</v>
      </c>
      <c r="CK20" s="75" t="s">
        <v>217</v>
      </c>
      <c r="CL20" s="38" t="s">
        <v>232</v>
      </c>
      <c r="CM20" s="41" t="s">
        <v>542</v>
      </c>
      <c r="CN20" s="79" t="s">
        <v>441</v>
      </c>
      <c r="CO20" s="33"/>
      <c r="CP20" s="18" t="s">
        <v>1092</v>
      </c>
      <c r="CQ20" s="92" t="s">
        <v>1093</v>
      </c>
      <c r="CR20" s="54" t="s">
        <v>442</v>
      </c>
      <c r="CS20" s="18"/>
      <c r="CT20" s="84"/>
      <c r="CU20" s="18"/>
    </row>
    <row r="21" spans="18:99" ht="17.25">
      <c r="R21" s="33"/>
      <c r="S21" s="33"/>
      <c r="T21" s="33"/>
      <c r="U21" s="33"/>
      <c r="V21" s="33"/>
      <c r="W21" s="33"/>
      <c r="X21" s="73"/>
      <c r="Y21" s="34"/>
      <c r="Z21" s="34"/>
      <c r="AA21" s="34"/>
      <c r="AB21" s="67" t="s">
        <v>1118</v>
      </c>
      <c r="AC21" s="28" t="s">
        <v>638</v>
      </c>
      <c r="AD21" s="54" t="s">
        <v>442</v>
      </c>
      <c r="AF21" s="36"/>
      <c r="AG21" s="36"/>
      <c r="AH21" s="36"/>
      <c r="AI21" s="34" t="s">
        <v>824</v>
      </c>
      <c r="AJ21" s="35" t="s">
        <v>171</v>
      </c>
      <c r="AK21" s="54" t="s">
        <v>975</v>
      </c>
      <c r="AL21" s="33"/>
      <c r="AM21" s="36"/>
      <c r="AN21" s="36"/>
      <c r="AO21" s="36"/>
      <c r="AP21" s="34" t="s">
        <v>900</v>
      </c>
      <c r="AQ21" s="35" t="s">
        <v>664</v>
      </c>
      <c r="AR21" s="59" t="s">
        <v>993</v>
      </c>
      <c r="AS21" s="33"/>
      <c r="AT21" s="36"/>
      <c r="AU21" s="36"/>
      <c r="AV21" s="36"/>
      <c r="AW21" s="34" t="s">
        <v>857</v>
      </c>
      <c r="AX21" s="35" t="s">
        <v>152</v>
      </c>
      <c r="AY21" s="59" t="s">
        <v>1001</v>
      </c>
      <c r="AZ21" s="33"/>
      <c r="BA21" s="36"/>
      <c r="BB21" s="36"/>
      <c r="BC21" s="36"/>
      <c r="BD21" s="34" t="s">
        <v>796</v>
      </c>
      <c r="BE21" s="35" t="s">
        <v>74</v>
      </c>
      <c r="BF21" s="59" t="s">
        <v>628</v>
      </c>
      <c r="BG21" s="33"/>
      <c r="BH21" s="36"/>
      <c r="BI21" s="36"/>
      <c r="BJ21" s="34"/>
      <c r="BK21" s="35" t="s">
        <v>713</v>
      </c>
      <c r="BL21" s="34" t="s">
        <v>179</v>
      </c>
      <c r="BM21" s="54" t="s">
        <v>8</v>
      </c>
      <c r="BN21" s="33"/>
      <c r="BO21" s="34" t="s">
        <v>943</v>
      </c>
      <c r="BP21" s="27" t="s">
        <v>687</v>
      </c>
      <c r="BQ21" s="59" t="s">
        <v>443</v>
      </c>
      <c r="BR21" s="35" t="s">
        <v>752</v>
      </c>
      <c r="BS21" s="34" t="s">
        <v>747</v>
      </c>
      <c r="BT21" s="56" t="s">
        <v>444</v>
      </c>
      <c r="BU21" s="33"/>
      <c r="BV21" s="34" t="s">
        <v>965</v>
      </c>
      <c r="BW21" s="25" t="s">
        <v>970</v>
      </c>
      <c r="BX21" s="59" t="s">
        <v>6</v>
      </c>
      <c r="BY21" s="35" t="s">
        <v>772</v>
      </c>
      <c r="BZ21" s="34" t="s">
        <v>759</v>
      </c>
      <c r="CA21" s="54" t="s">
        <v>1019</v>
      </c>
      <c r="CB21" s="33"/>
      <c r="CC21" s="36"/>
      <c r="CD21" s="37" t="s">
        <v>451</v>
      </c>
      <c r="CE21" s="58" t="s">
        <v>608</v>
      </c>
      <c r="CF21" s="38" t="s">
        <v>436</v>
      </c>
      <c r="CG21" s="39" t="s">
        <v>508</v>
      </c>
      <c r="CH21" s="70" t="s">
        <v>622</v>
      </c>
      <c r="CI21" s="36" t="s">
        <v>573</v>
      </c>
      <c r="CJ21" s="40" t="s">
        <v>1068</v>
      </c>
      <c r="CK21" s="77" t="s">
        <v>116</v>
      </c>
      <c r="CL21" s="38"/>
      <c r="CM21" s="41" t="s">
        <v>543</v>
      </c>
      <c r="CN21" s="79" t="s">
        <v>441</v>
      </c>
      <c r="CO21" s="33"/>
      <c r="CP21" s="18" t="s">
        <v>1097</v>
      </c>
      <c r="CQ21" s="92" t="s">
        <v>1098</v>
      </c>
      <c r="CR21" s="59" t="s">
        <v>116</v>
      </c>
      <c r="CS21" s="18"/>
      <c r="CT21" s="18"/>
      <c r="CU21" s="84"/>
    </row>
    <row r="22" spans="18:99" ht="17.25">
      <c r="R22" s="33"/>
      <c r="S22" s="33"/>
      <c r="T22" s="33"/>
      <c r="U22" s="33"/>
      <c r="V22" s="33"/>
      <c r="W22" s="33"/>
      <c r="X22" s="73"/>
      <c r="Y22" s="34"/>
      <c r="Z22" s="34"/>
      <c r="AA22" s="34"/>
      <c r="AB22" s="67" t="s">
        <v>1119</v>
      </c>
      <c r="AC22" s="28" t="s">
        <v>85</v>
      </c>
      <c r="AD22" s="54" t="s">
        <v>442</v>
      </c>
      <c r="AF22" s="36"/>
      <c r="AG22" s="36"/>
      <c r="AH22" s="36"/>
      <c r="AI22" s="34" t="s">
        <v>824</v>
      </c>
      <c r="AJ22" s="35" t="s">
        <v>70</v>
      </c>
      <c r="AK22" s="54" t="s">
        <v>1028</v>
      </c>
      <c r="AL22" s="33"/>
      <c r="AM22" s="36"/>
      <c r="AN22" s="36"/>
      <c r="AO22" s="36"/>
      <c r="AP22" s="34" t="s">
        <v>901</v>
      </c>
      <c r="AQ22" s="35" t="s">
        <v>665</v>
      </c>
      <c r="AR22" s="59" t="s">
        <v>990</v>
      </c>
      <c r="AS22" s="33"/>
      <c r="AT22" s="36"/>
      <c r="AU22" s="36"/>
      <c r="AV22" s="36"/>
      <c r="AW22" s="34" t="s">
        <v>858</v>
      </c>
      <c r="AX22" s="35" t="s">
        <v>675</v>
      </c>
      <c r="AY22" s="59" t="s">
        <v>628</v>
      </c>
      <c r="AZ22" s="33"/>
      <c r="BA22" s="36"/>
      <c r="BB22" s="36"/>
      <c r="BC22" s="36"/>
      <c r="BD22" s="34" t="s">
        <v>797</v>
      </c>
      <c r="BE22" s="35" t="s">
        <v>169</v>
      </c>
      <c r="BF22" s="59" t="s">
        <v>1009</v>
      </c>
      <c r="BG22" s="33"/>
      <c r="BH22" s="36"/>
      <c r="BI22" s="36"/>
      <c r="BJ22" s="34"/>
      <c r="BK22" s="35" t="s">
        <v>709</v>
      </c>
      <c r="BL22" s="34" t="s">
        <v>24</v>
      </c>
      <c r="BM22" s="54" t="s">
        <v>8</v>
      </c>
      <c r="BN22" s="33"/>
      <c r="BO22" s="34" t="s">
        <v>944</v>
      </c>
      <c r="BP22" s="25" t="s">
        <v>672</v>
      </c>
      <c r="BQ22" s="59" t="s">
        <v>1025</v>
      </c>
      <c r="BR22" s="35" t="s">
        <v>753</v>
      </c>
      <c r="BS22" s="34" t="s">
        <v>17</v>
      </c>
      <c r="BT22" s="54" t="s">
        <v>8</v>
      </c>
      <c r="BU22" s="33"/>
      <c r="BV22" s="34" t="s">
        <v>966</v>
      </c>
      <c r="BW22" s="31" t="s">
        <v>718</v>
      </c>
      <c r="BX22" s="54" t="s">
        <v>8</v>
      </c>
      <c r="BY22" s="35" t="s">
        <v>774</v>
      </c>
      <c r="BZ22" s="34" t="s">
        <v>767</v>
      </c>
      <c r="CA22" s="54" t="s">
        <v>1019</v>
      </c>
      <c r="CB22" s="33"/>
      <c r="CC22" s="36" t="s">
        <v>469</v>
      </c>
      <c r="CD22" s="37" t="s">
        <v>453</v>
      </c>
      <c r="CE22" s="58" t="s">
        <v>610</v>
      </c>
      <c r="CF22" s="38"/>
      <c r="CG22" s="39" t="s">
        <v>509</v>
      </c>
      <c r="CH22" s="70" t="s">
        <v>622</v>
      </c>
      <c r="CI22" s="36"/>
      <c r="CJ22" s="40"/>
      <c r="CK22" s="78"/>
      <c r="CL22" s="38" t="s">
        <v>548</v>
      </c>
      <c r="CM22" s="41" t="s">
        <v>544</v>
      </c>
      <c r="CN22" s="79" t="s">
        <v>441</v>
      </c>
      <c r="CO22" s="74"/>
      <c r="CR22"/>
      <c r="CU22"/>
    </row>
    <row r="23" spans="18:99" ht="17.25">
      <c r="R23" s="33"/>
      <c r="S23" s="33"/>
      <c r="T23" s="33"/>
      <c r="U23" s="33"/>
      <c r="V23" s="33"/>
      <c r="W23" s="33"/>
      <c r="X23" s="73"/>
      <c r="Y23" s="34"/>
      <c r="Z23" s="34"/>
      <c r="AA23" s="34"/>
      <c r="AB23" s="67" t="s">
        <v>1120</v>
      </c>
      <c r="AC23" s="28" t="s">
        <v>120</v>
      </c>
      <c r="AD23" s="54" t="s">
        <v>442</v>
      </c>
      <c r="AF23" s="36"/>
      <c r="AG23" s="36"/>
      <c r="AH23" s="36"/>
      <c r="AI23" s="34" t="s">
        <v>915</v>
      </c>
      <c r="AJ23" s="35" t="s">
        <v>645</v>
      </c>
      <c r="AK23" s="54" t="s">
        <v>976</v>
      </c>
      <c r="AL23" s="33"/>
      <c r="AM23" s="36"/>
      <c r="AN23" s="36"/>
      <c r="AO23" s="36"/>
      <c r="AP23" s="34" t="s">
        <v>814</v>
      </c>
      <c r="AQ23" s="35" t="s">
        <v>49</v>
      </c>
      <c r="AR23" s="59" t="s">
        <v>628</v>
      </c>
      <c r="AS23" s="33"/>
      <c r="AT23" s="36"/>
      <c r="AU23" s="36"/>
      <c r="AV23" s="36"/>
      <c r="AW23" s="34" t="s">
        <v>859</v>
      </c>
      <c r="AX23" s="35" t="s">
        <v>676</v>
      </c>
      <c r="AY23" s="59" t="s">
        <v>628</v>
      </c>
      <c r="AZ23" s="33"/>
      <c r="BA23" s="36"/>
      <c r="BB23" s="36"/>
      <c r="BC23" s="36"/>
      <c r="BD23" s="34" t="s">
        <v>798</v>
      </c>
      <c r="BE23" s="35" t="s">
        <v>25</v>
      </c>
      <c r="BF23" s="59" t="s">
        <v>6</v>
      </c>
      <c r="BG23" s="33"/>
      <c r="BH23" s="36"/>
      <c r="BI23" s="36"/>
      <c r="BJ23" s="34"/>
      <c r="BK23" s="35" t="s">
        <v>732</v>
      </c>
      <c r="BL23" s="34" t="s">
        <v>198</v>
      </c>
      <c r="BM23" s="54" t="s">
        <v>8</v>
      </c>
      <c r="BN23" s="33"/>
      <c r="BO23" s="34" t="s">
        <v>945</v>
      </c>
      <c r="BP23" s="27" t="s">
        <v>694</v>
      </c>
      <c r="BQ23" s="59" t="s">
        <v>443</v>
      </c>
      <c r="BR23" s="36"/>
      <c r="BS23" s="36"/>
      <c r="BT23" s="28"/>
      <c r="BU23" s="33"/>
      <c r="BV23" s="34" t="s">
        <v>967</v>
      </c>
      <c r="BW23" s="32" t="s">
        <v>707</v>
      </c>
      <c r="BX23" s="54" t="s">
        <v>442</v>
      </c>
      <c r="BY23" s="35" t="s">
        <v>776</v>
      </c>
      <c r="BZ23" s="34" t="s">
        <v>769</v>
      </c>
      <c r="CA23" s="54" t="s">
        <v>1019</v>
      </c>
      <c r="CB23" s="33"/>
      <c r="CC23" s="36"/>
      <c r="CD23" s="37" t="s">
        <v>459</v>
      </c>
      <c r="CE23" s="58" t="s">
        <v>608</v>
      </c>
      <c r="CF23" s="38"/>
      <c r="CG23" s="39" t="s">
        <v>511</v>
      </c>
      <c r="CH23" s="70" t="s">
        <v>622</v>
      </c>
      <c r="CI23" s="36"/>
      <c r="CJ23" s="40"/>
      <c r="CK23" s="78"/>
      <c r="CL23" s="38" t="s">
        <v>549</v>
      </c>
      <c r="CM23" s="44" t="s">
        <v>550</v>
      </c>
      <c r="CN23" s="91" t="s">
        <v>1041</v>
      </c>
      <c r="CO23" s="74"/>
      <c r="CR23"/>
      <c r="CU23"/>
    </row>
    <row r="24" spans="18:99" ht="17.25">
      <c r="R24" s="33"/>
      <c r="S24" s="33"/>
      <c r="T24" s="33"/>
      <c r="U24" s="33"/>
      <c r="V24" s="33"/>
      <c r="W24" s="33"/>
      <c r="X24" s="73"/>
      <c r="Y24" s="34"/>
      <c r="Z24" s="34"/>
      <c r="AA24" s="34"/>
      <c r="AB24" s="67" t="s">
        <v>1121</v>
      </c>
      <c r="AC24" s="28" t="s">
        <v>641</v>
      </c>
      <c r="AD24" s="54" t="s">
        <v>442</v>
      </c>
      <c r="AF24" s="36"/>
      <c r="AG24" s="36"/>
      <c r="AH24" s="36"/>
      <c r="AI24" s="25" t="s">
        <v>916</v>
      </c>
      <c r="AJ24" s="35" t="s">
        <v>56</v>
      </c>
      <c r="AK24" s="54" t="s">
        <v>631</v>
      </c>
      <c r="AL24" s="33"/>
      <c r="AM24" s="36"/>
      <c r="AN24" s="36"/>
      <c r="AO24" s="36"/>
      <c r="AP24" s="34" t="s">
        <v>902</v>
      </c>
      <c r="AQ24" s="35" t="s">
        <v>150</v>
      </c>
      <c r="AR24" s="59" t="s">
        <v>992</v>
      </c>
      <c r="AS24" s="33"/>
      <c r="AT24" s="36"/>
      <c r="AU24" s="36"/>
      <c r="AV24" s="36"/>
      <c r="AW24" s="34" t="s">
        <v>813</v>
      </c>
      <c r="AX24" s="35" t="s">
        <v>33</v>
      </c>
      <c r="AY24" s="59" t="s">
        <v>628</v>
      </c>
      <c r="AZ24" s="33"/>
      <c r="BA24" s="36"/>
      <c r="BB24" s="36"/>
      <c r="BC24" s="36"/>
      <c r="BD24" s="34" t="s">
        <v>799</v>
      </c>
      <c r="BE24" s="35" t="s">
        <v>694</v>
      </c>
      <c r="BF24" s="59" t="s">
        <v>1010</v>
      </c>
      <c r="BG24" s="33"/>
      <c r="BH24" s="36"/>
      <c r="BI24" s="36"/>
      <c r="BJ24" s="34"/>
      <c r="BK24" s="35" t="s">
        <v>733</v>
      </c>
      <c r="BL24" s="34" t="s">
        <v>36</v>
      </c>
      <c r="BM24" s="54" t="s">
        <v>8</v>
      </c>
      <c r="BN24" s="33"/>
      <c r="BO24" s="34" t="s">
        <v>733</v>
      </c>
      <c r="BP24" s="27" t="s">
        <v>685</v>
      </c>
      <c r="BQ24" s="59" t="s">
        <v>443</v>
      </c>
      <c r="BR24" s="36"/>
      <c r="BS24" s="36"/>
      <c r="BT24" s="34"/>
      <c r="BU24" s="33"/>
      <c r="BV24" s="34" t="s">
        <v>968</v>
      </c>
      <c r="BW24" s="29" t="s">
        <v>715</v>
      </c>
      <c r="BX24" s="56" t="s">
        <v>5</v>
      </c>
      <c r="BY24" s="35" t="s">
        <v>778</v>
      </c>
      <c r="BZ24" s="34" t="s">
        <v>771</v>
      </c>
      <c r="CA24" s="54" t="s">
        <v>442</v>
      </c>
      <c r="CB24" s="33"/>
      <c r="CC24" s="61"/>
      <c r="CD24" s="62"/>
      <c r="CE24" s="45"/>
      <c r="CF24" s="38"/>
      <c r="CG24" s="39" t="s">
        <v>516</v>
      </c>
      <c r="CH24" s="70" t="s">
        <v>620</v>
      </c>
      <c r="CI24" s="36"/>
      <c r="CJ24" s="40"/>
      <c r="CK24" s="78"/>
      <c r="CL24" s="38" t="s">
        <v>525</v>
      </c>
      <c r="CM24" s="46" t="s">
        <v>569</v>
      </c>
      <c r="CN24" s="90" t="s">
        <v>441</v>
      </c>
      <c r="CO24" s="74"/>
      <c r="CR24"/>
      <c r="CU24"/>
    </row>
    <row r="25" spans="18:99" ht="17.25">
      <c r="R25" s="33"/>
      <c r="S25" s="33"/>
      <c r="T25" s="33"/>
      <c r="U25" s="33"/>
      <c r="V25" s="33"/>
      <c r="W25" s="33"/>
      <c r="X25" s="74"/>
      <c r="Y25" s="33"/>
      <c r="Z25" s="33"/>
      <c r="AA25" s="33"/>
      <c r="AB25" s="242"/>
      <c r="AC25" s="242"/>
      <c r="AD25" s="242"/>
      <c r="AF25" s="36"/>
      <c r="AG25" s="36"/>
      <c r="AH25" s="36"/>
      <c r="AI25" s="34" t="s">
        <v>835</v>
      </c>
      <c r="AJ25" s="35" t="s">
        <v>127</v>
      </c>
      <c r="AK25" s="54" t="s">
        <v>631</v>
      </c>
      <c r="AL25" s="33"/>
      <c r="AM25" s="36"/>
      <c r="AN25" s="36"/>
      <c r="AO25" s="36"/>
      <c r="AP25" s="34" t="s">
        <v>809</v>
      </c>
      <c r="AQ25" s="35" t="s">
        <v>667</v>
      </c>
      <c r="AR25" s="59" t="s">
        <v>994</v>
      </c>
      <c r="AS25" s="33"/>
      <c r="AT25" s="36"/>
      <c r="AU25" s="36"/>
      <c r="AV25" s="36"/>
      <c r="AW25" s="34" t="s">
        <v>809</v>
      </c>
      <c r="AX25" s="35" t="s">
        <v>79</v>
      </c>
      <c r="AY25" s="59" t="s">
        <v>628</v>
      </c>
      <c r="AZ25" s="33"/>
      <c r="BA25" s="36"/>
      <c r="BB25" s="36"/>
      <c r="BC25" s="36"/>
      <c r="BD25" s="34" t="s">
        <v>792</v>
      </c>
      <c r="BE25" s="35" t="s">
        <v>695</v>
      </c>
      <c r="BF25" s="59" t="s">
        <v>6</v>
      </c>
      <c r="BG25" s="33"/>
      <c r="BH25" s="36"/>
      <c r="BI25" s="36"/>
      <c r="BJ25" s="34"/>
      <c r="BK25" s="35" t="s">
        <v>633</v>
      </c>
      <c r="BL25" s="34" t="s">
        <v>46</v>
      </c>
      <c r="BM25" s="54" t="s">
        <v>8</v>
      </c>
      <c r="BN25" s="33"/>
      <c r="BO25" s="34" t="s">
        <v>946</v>
      </c>
      <c r="BP25" s="25" t="s">
        <v>722</v>
      </c>
      <c r="BQ25" s="59" t="s">
        <v>443</v>
      </c>
      <c r="BR25" s="36"/>
      <c r="BS25" s="36"/>
      <c r="BT25" s="34"/>
      <c r="BU25" s="33"/>
      <c r="BV25" s="34" t="s">
        <v>969</v>
      </c>
      <c r="BW25" s="25" t="s">
        <v>962</v>
      </c>
      <c r="BX25" s="56" t="s">
        <v>5</v>
      </c>
      <c r="BY25" s="35" t="s">
        <v>780</v>
      </c>
      <c r="BZ25" s="34" t="s">
        <v>779</v>
      </c>
      <c r="CA25" s="54" t="s">
        <v>1021</v>
      </c>
      <c r="CB25" s="33"/>
      <c r="CC25" s="63"/>
      <c r="CD25" s="64"/>
      <c r="CE25" s="47"/>
      <c r="CF25" s="38"/>
      <c r="CG25" s="39" t="s">
        <v>510</v>
      </c>
      <c r="CH25" s="71" t="s">
        <v>623</v>
      </c>
      <c r="CI25" s="36"/>
      <c r="CJ25" s="40"/>
      <c r="CK25" s="78"/>
      <c r="CL25" s="38"/>
      <c r="CM25" s="46" t="s">
        <v>565</v>
      </c>
      <c r="CN25" s="90" t="s">
        <v>441</v>
      </c>
      <c r="CO25" s="74"/>
      <c r="CR25"/>
      <c r="CU25"/>
    </row>
    <row r="26" spans="18:99" ht="17.25">
      <c r="R26" s="33"/>
      <c r="S26" s="33"/>
      <c r="T26" s="33"/>
      <c r="U26" s="33"/>
      <c r="V26" s="33"/>
      <c r="W26" s="33"/>
      <c r="Y26" s="33"/>
      <c r="Z26" s="33"/>
      <c r="AA26" s="33"/>
      <c r="AB26" s="33"/>
      <c r="AC26" s="33"/>
      <c r="AD26" s="33"/>
      <c r="AF26" s="36"/>
      <c r="AG26" s="36"/>
      <c r="AH26" s="36"/>
      <c r="AI26" s="34" t="s">
        <v>917</v>
      </c>
      <c r="AJ26" s="35" t="s">
        <v>127</v>
      </c>
      <c r="AK26" s="54" t="s">
        <v>977</v>
      </c>
      <c r="AL26" s="33"/>
      <c r="AM26" s="36"/>
      <c r="AN26" s="36"/>
      <c r="AO26" s="36"/>
      <c r="AP26" s="34" t="s">
        <v>811</v>
      </c>
      <c r="AQ26" s="35" t="s">
        <v>80</v>
      </c>
      <c r="AR26" s="54" t="s">
        <v>971</v>
      </c>
      <c r="AS26" s="33"/>
      <c r="AT26" s="36"/>
      <c r="AU26" s="36"/>
      <c r="AV26" s="36"/>
      <c r="AW26" s="34" t="s">
        <v>860</v>
      </c>
      <c r="AX26" s="35" t="s">
        <v>43</v>
      </c>
      <c r="AY26" s="59" t="s">
        <v>628</v>
      </c>
      <c r="AZ26" s="33"/>
      <c r="BA26" s="36"/>
      <c r="BB26" s="36"/>
      <c r="BC26" s="36"/>
      <c r="BD26" s="34" t="s">
        <v>791</v>
      </c>
      <c r="BE26" s="35" t="s">
        <v>696</v>
      </c>
      <c r="BF26" s="59" t="s">
        <v>1011</v>
      </c>
      <c r="BG26" s="33"/>
      <c r="BH26" s="36"/>
      <c r="BI26" s="36"/>
      <c r="BJ26" s="34"/>
      <c r="BK26" s="35" t="s">
        <v>649</v>
      </c>
      <c r="BL26" s="34" t="s">
        <v>200</v>
      </c>
      <c r="BM26" s="54" t="s">
        <v>8</v>
      </c>
      <c r="BN26" s="33"/>
      <c r="BO26" s="34" t="s">
        <v>947</v>
      </c>
      <c r="BP26" s="25" t="s">
        <v>667</v>
      </c>
      <c r="BQ26" s="59" t="s">
        <v>443</v>
      </c>
      <c r="BR26" s="36"/>
      <c r="BS26" s="36"/>
      <c r="BT26" s="34"/>
      <c r="BU26" s="33"/>
      <c r="BV26" s="36"/>
      <c r="BW26" s="36"/>
      <c r="BX26" s="34"/>
      <c r="BY26" s="35" t="s">
        <v>782</v>
      </c>
      <c r="BZ26" s="34" t="s">
        <v>781</v>
      </c>
      <c r="CA26" s="54" t="s">
        <v>1019</v>
      </c>
      <c r="CB26" s="33"/>
      <c r="CC26" s="63"/>
      <c r="CD26" s="64"/>
      <c r="CE26" s="47"/>
      <c r="CF26" s="38"/>
      <c r="CG26" s="39" t="s">
        <v>515</v>
      </c>
      <c r="CH26" s="71" t="s">
        <v>608</v>
      </c>
      <c r="CI26" s="36"/>
      <c r="CJ26" s="40"/>
      <c r="CK26" s="78"/>
      <c r="CL26" s="38"/>
      <c r="CM26" s="46" t="s">
        <v>1042</v>
      </c>
      <c r="CN26" s="108" t="s">
        <v>1033</v>
      </c>
      <c r="CO26" s="33"/>
    </row>
    <row r="27" spans="18:99" ht="17.25">
      <c r="R27" s="33"/>
      <c r="S27" s="33"/>
      <c r="T27" s="33"/>
      <c r="U27" s="33"/>
      <c r="V27" s="33"/>
      <c r="W27" s="33"/>
      <c r="Y27" s="33"/>
      <c r="Z27" s="33"/>
      <c r="AA27" s="33"/>
      <c r="AB27" s="33"/>
      <c r="AC27" s="33"/>
      <c r="AD27" s="33"/>
      <c r="AF27" s="36"/>
      <c r="AG27" s="36"/>
      <c r="AH27" s="36"/>
      <c r="AI27" s="34" t="s">
        <v>918</v>
      </c>
      <c r="AJ27" s="35" t="s">
        <v>646</v>
      </c>
      <c r="AK27" s="54" t="s">
        <v>975</v>
      </c>
      <c r="AL27" s="33"/>
      <c r="AM27" s="36"/>
      <c r="AN27" s="36"/>
      <c r="AO27" s="36"/>
      <c r="AP27" s="34" t="s">
        <v>830</v>
      </c>
      <c r="AQ27" s="35" t="s">
        <v>158</v>
      </c>
      <c r="AR27" s="54" t="s">
        <v>977</v>
      </c>
      <c r="AS27" s="33"/>
      <c r="AT27" s="36"/>
      <c r="AU27" s="36"/>
      <c r="AV27" s="36"/>
      <c r="AW27" s="34" t="s">
        <v>861</v>
      </c>
      <c r="AX27" s="35" t="s">
        <v>678</v>
      </c>
      <c r="AY27" s="59" t="s">
        <v>1001</v>
      </c>
      <c r="AZ27" s="33"/>
      <c r="BA27" s="36"/>
      <c r="BB27" s="36"/>
      <c r="BC27" s="36"/>
      <c r="BD27" s="34" t="s">
        <v>800</v>
      </c>
      <c r="BE27" s="35" t="s">
        <v>173</v>
      </c>
      <c r="BF27" s="59" t="s">
        <v>6</v>
      </c>
      <c r="BG27" s="33"/>
      <c r="BH27" s="36"/>
      <c r="BI27" s="36"/>
      <c r="BJ27" s="34"/>
      <c r="BK27" s="35" t="s">
        <v>734</v>
      </c>
      <c r="BL27" s="34" t="s">
        <v>87</v>
      </c>
      <c r="BM27" s="56" t="s">
        <v>1031</v>
      </c>
      <c r="BN27" s="33"/>
      <c r="BO27" s="34" t="s">
        <v>948</v>
      </c>
      <c r="BP27" s="25" t="s">
        <v>737</v>
      </c>
      <c r="BQ27" s="59" t="s">
        <v>443</v>
      </c>
      <c r="BR27" s="36"/>
      <c r="BS27" s="36"/>
      <c r="BT27" s="34"/>
      <c r="BU27" s="33"/>
      <c r="BV27" s="36"/>
      <c r="BW27" s="36"/>
      <c r="BX27" s="34"/>
      <c r="BY27" s="35" t="s">
        <v>784</v>
      </c>
      <c r="BZ27" s="34" t="s">
        <v>785</v>
      </c>
      <c r="CA27" s="54" t="s">
        <v>1019</v>
      </c>
      <c r="CB27" s="33"/>
      <c r="CC27" s="63"/>
      <c r="CD27" s="64"/>
      <c r="CE27" s="47"/>
      <c r="CF27" s="38" t="s">
        <v>519</v>
      </c>
      <c r="CG27" s="39" t="s">
        <v>472</v>
      </c>
      <c r="CH27" s="72" t="s">
        <v>1033</v>
      </c>
      <c r="CI27" s="36"/>
      <c r="CJ27" s="40"/>
      <c r="CK27" s="78"/>
      <c r="CL27" s="38"/>
      <c r="CM27" s="46" t="s">
        <v>1043</v>
      </c>
      <c r="CN27" s="108" t="s">
        <v>1034</v>
      </c>
      <c r="CO27" s="33"/>
    </row>
    <row r="28" spans="18:99" ht="17.25">
      <c r="R28" s="33"/>
      <c r="S28" s="33"/>
      <c r="T28" s="33"/>
      <c r="U28" s="33"/>
      <c r="V28" s="33"/>
      <c r="W28" s="33"/>
      <c r="Y28" s="33"/>
      <c r="Z28" s="33"/>
      <c r="AA28" s="33"/>
      <c r="AB28" s="33"/>
      <c r="AC28" s="33"/>
      <c r="AD28" s="33"/>
      <c r="AF28" s="36"/>
      <c r="AG28" s="36"/>
      <c r="AH28" s="36"/>
      <c r="AI28" s="34" t="s">
        <v>866</v>
      </c>
      <c r="AJ28" s="35" t="s">
        <v>197</v>
      </c>
      <c r="AK28" s="54" t="s">
        <v>631</v>
      </c>
      <c r="AL28" s="33"/>
      <c r="AM28" s="36"/>
      <c r="AN28" s="36"/>
      <c r="AO28" s="36"/>
      <c r="AP28" s="34" t="s">
        <v>830</v>
      </c>
      <c r="AQ28" s="35" t="s">
        <v>145</v>
      </c>
      <c r="AR28" s="54" t="s">
        <v>971</v>
      </c>
      <c r="AS28" s="33"/>
      <c r="AT28" s="36"/>
      <c r="AU28" s="36"/>
      <c r="AV28" s="36"/>
      <c r="AW28" s="34" t="s">
        <v>862</v>
      </c>
      <c r="AX28" s="35" t="s">
        <v>679</v>
      </c>
      <c r="AY28" s="59" t="s">
        <v>628</v>
      </c>
      <c r="AZ28" s="33"/>
      <c r="BA28" s="36"/>
      <c r="BB28" s="36"/>
      <c r="BC28" s="36"/>
      <c r="BD28" s="34" t="s">
        <v>800</v>
      </c>
      <c r="BE28" s="24" t="s">
        <v>699</v>
      </c>
      <c r="BF28" s="59" t="s">
        <v>6</v>
      </c>
      <c r="BG28" s="33"/>
      <c r="BH28" s="36"/>
      <c r="BI28" s="36"/>
      <c r="BJ28" s="34"/>
      <c r="BK28" s="35" t="s">
        <v>735</v>
      </c>
      <c r="BL28" s="34" t="s">
        <v>29</v>
      </c>
      <c r="BM28" s="54" t="s">
        <v>8</v>
      </c>
      <c r="BN28" s="33"/>
      <c r="BO28" s="34" t="s">
        <v>949</v>
      </c>
      <c r="BP28" s="25" t="s">
        <v>635</v>
      </c>
      <c r="BQ28" s="54" t="s">
        <v>1024</v>
      </c>
      <c r="BR28" s="36"/>
      <c r="BS28" s="36"/>
      <c r="BT28" s="34"/>
      <c r="BU28" s="33"/>
      <c r="BV28" s="33"/>
      <c r="BW28" s="33"/>
      <c r="BX28" s="73"/>
      <c r="BY28" s="33"/>
      <c r="BZ28" s="33"/>
      <c r="CA28" s="73"/>
      <c r="CB28" s="33"/>
      <c r="CC28" s="63"/>
      <c r="CD28" s="64"/>
      <c r="CE28" s="47"/>
      <c r="CF28" s="38"/>
      <c r="CG28" s="39" t="s">
        <v>475</v>
      </c>
      <c r="CH28" s="72" t="s">
        <v>1034</v>
      </c>
      <c r="CI28" s="42"/>
      <c r="CO28" s="33"/>
    </row>
    <row r="29" spans="18:99" ht="17.25">
      <c r="R29" s="33"/>
      <c r="S29" s="33"/>
      <c r="T29" s="33"/>
      <c r="U29" s="33"/>
      <c r="V29" s="33"/>
      <c r="W29" s="33"/>
      <c r="Y29" s="33"/>
      <c r="Z29" s="33"/>
      <c r="AA29" s="33"/>
      <c r="AB29" s="33"/>
      <c r="AC29" s="33"/>
      <c r="AD29" s="33"/>
      <c r="AF29" s="36"/>
      <c r="AG29" s="36"/>
      <c r="AH29" s="36"/>
      <c r="AI29" s="34" t="s">
        <v>919</v>
      </c>
      <c r="AJ29" s="35" t="s">
        <v>54</v>
      </c>
      <c r="AK29" s="54" t="s">
        <v>631</v>
      </c>
      <c r="AL29" s="33"/>
      <c r="AM29" s="36"/>
      <c r="AN29" s="36"/>
      <c r="AO29" s="36"/>
      <c r="AP29" s="34" t="s">
        <v>903</v>
      </c>
      <c r="AQ29" s="35" t="s">
        <v>147</v>
      </c>
      <c r="AR29" s="54" t="s">
        <v>971</v>
      </c>
      <c r="AS29" s="33"/>
      <c r="AT29" s="36"/>
      <c r="AU29" s="36"/>
      <c r="AV29" s="36"/>
      <c r="AW29" s="34" t="s">
        <v>826</v>
      </c>
      <c r="AX29" s="35" t="s">
        <v>13</v>
      </c>
      <c r="AY29" s="59" t="s">
        <v>6</v>
      </c>
      <c r="AZ29" s="33"/>
      <c r="BA29" s="36"/>
      <c r="BB29" s="36"/>
      <c r="BC29" s="36"/>
      <c r="BD29" s="34" t="s">
        <v>801</v>
      </c>
      <c r="BE29" s="35" t="s">
        <v>76</v>
      </c>
      <c r="BF29" s="59" t="s">
        <v>6</v>
      </c>
      <c r="BG29" s="33"/>
      <c r="BH29" s="33"/>
      <c r="BI29" s="33"/>
      <c r="BJ29" s="73"/>
      <c r="BK29" s="33"/>
      <c r="BL29" s="33"/>
      <c r="BM29" s="80"/>
      <c r="BN29" s="33"/>
      <c r="BO29" s="34" t="s">
        <v>950</v>
      </c>
      <c r="BP29" s="25" t="s">
        <v>645</v>
      </c>
      <c r="BQ29" s="54" t="s">
        <v>442</v>
      </c>
      <c r="BR29" s="36"/>
      <c r="BS29" s="36"/>
      <c r="BT29" s="34"/>
      <c r="BU29" s="33"/>
      <c r="BV29" s="33"/>
      <c r="BW29" s="33"/>
      <c r="BX29" s="73"/>
      <c r="BY29" s="33"/>
      <c r="BZ29" s="33"/>
      <c r="CA29" s="73"/>
      <c r="CB29" s="33"/>
      <c r="CC29" s="63"/>
      <c r="CD29" s="64"/>
      <c r="CE29" s="47"/>
      <c r="CF29" s="38"/>
      <c r="CG29" s="39" t="s">
        <v>476</v>
      </c>
      <c r="CH29" s="72" t="s">
        <v>1034</v>
      </c>
      <c r="CI29" s="42"/>
    </row>
    <row r="30" spans="18:99" ht="17.25">
      <c r="R30" s="33"/>
      <c r="S30" s="33"/>
      <c r="T30" s="33"/>
      <c r="U30" s="33"/>
      <c r="V30" s="33"/>
      <c r="W30" s="33"/>
      <c r="Y30" s="33"/>
      <c r="Z30" s="33"/>
      <c r="AA30" s="33"/>
      <c r="AB30" s="33"/>
      <c r="AC30" s="33"/>
      <c r="AD30" s="33"/>
      <c r="AF30" s="36"/>
      <c r="AG30" s="36"/>
      <c r="AH30" s="36"/>
      <c r="AI30" s="34" t="s">
        <v>868</v>
      </c>
      <c r="AJ30" s="35" t="s">
        <v>181</v>
      </c>
      <c r="AK30" s="54" t="s">
        <v>631</v>
      </c>
      <c r="AL30" s="33"/>
      <c r="AM30" s="36"/>
      <c r="AN30" s="36"/>
      <c r="AO30" s="36"/>
      <c r="AP30" s="34" t="s">
        <v>904</v>
      </c>
      <c r="AQ30" s="35" t="s">
        <v>130</v>
      </c>
      <c r="AR30" s="54" t="s">
        <v>631</v>
      </c>
      <c r="AS30" s="33"/>
      <c r="AT30" s="36"/>
      <c r="AU30" s="36"/>
      <c r="AV30" s="36"/>
      <c r="AW30" s="34" t="s">
        <v>863</v>
      </c>
      <c r="AX30" s="35" t="s">
        <v>9</v>
      </c>
      <c r="AY30" s="59" t="s">
        <v>6</v>
      </c>
      <c r="AZ30" s="33"/>
      <c r="BA30" s="36"/>
      <c r="BB30" s="36"/>
      <c r="BC30" s="36"/>
      <c r="BD30" s="34" t="s">
        <v>802</v>
      </c>
      <c r="BE30" s="35" t="s">
        <v>700</v>
      </c>
      <c r="BF30" s="59" t="s">
        <v>1013</v>
      </c>
      <c r="BG30" s="33"/>
      <c r="BH30" s="33"/>
      <c r="BI30" s="33"/>
      <c r="BJ30" s="73"/>
      <c r="BK30" s="33"/>
      <c r="BL30" s="33"/>
      <c r="BM30" s="80"/>
      <c r="BN30" s="33"/>
      <c r="BO30" s="34" t="s">
        <v>951</v>
      </c>
      <c r="BP30" s="27" t="s">
        <v>698</v>
      </c>
      <c r="BQ30" s="54" t="s">
        <v>442</v>
      </c>
      <c r="BR30" s="36"/>
      <c r="BS30" s="36"/>
      <c r="BT30" s="34"/>
      <c r="BU30" s="33"/>
      <c r="BV30" s="33"/>
      <c r="BW30" s="33"/>
      <c r="BX30" s="73"/>
      <c r="BY30" s="33"/>
      <c r="BZ30" s="33"/>
      <c r="CA30" s="73"/>
      <c r="CB30" s="33"/>
      <c r="CC30" s="63"/>
      <c r="CD30" s="64"/>
      <c r="CE30" s="47"/>
      <c r="CF30" s="38"/>
      <c r="CG30" s="39" t="s">
        <v>478</v>
      </c>
      <c r="CH30" s="72" t="s">
        <v>1034</v>
      </c>
      <c r="CI30" s="42"/>
      <c r="CM30" s="74"/>
      <c r="CN30"/>
    </row>
    <row r="31" spans="18:99" ht="17.25">
      <c r="R31" s="33"/>
      <c r="S31" s="33"/>
      <c r="T31" s="33"/>
      <c r="U31" s="33"/>
      <c r="V31" s="33"/>
      <c r="W31" s="33"/>
      <c r="Y31" s="33"/>
      <c r="Z31" s="33"/>
      <c r="AA31" s="33"/>
      <c r="AB31" s="33"/>
      <c r="AC31" s="33"/>
      <c r="AD31" s="33"/>
      <c r="AF31" s="36"/>
      <c r="AG31" s="36"/>
      <c r="AH31" s="36"/>
      <c r="AI31" s="34" t="s">
        <v>920</v>
      </c>
      <c r="AJ31" s="35" t="s">
        <v>135</v>
      </c>
      <c r="AK31" s="54" t="s">
        <v>976</v>
      </c>
      <c r="AL31" s="33"/>
      <c r="AM31" s="36"/>
      <c r="AN31" s="36"/>
      <c r="AO31" s="36"/>
      <c r="AP31" s="34" t="s">
        <v>905</v>
      </c>
      <c r="AQ31" s="35" t="s">
        <v>656</v>
      </c>
      <c r="AR31" s="54" t="s">
        <v>631</v>
      </c>
      <c r="AS31" s="33"/>
      <c r="AT31" s="36"/>
      <c r="AU31" s="36"/>
      <c r="AV31" s="36"/>
      <c r="AW31" s="34" t="s">
        <v>832</v>
      </c>
      <c r="AX31" s="35" t="s">
        <v>189</v>
      </c>
      <c r="AY31" s="59" t="s">
        <v>6</v>
      </c>
      <c r="AZ31" s="33"/>
      <c r="BA31" s="36"/>
      <c r="BB31" s="36"/>
      <c r="BC31" s="36"/>
      <c r="BD31" s="34" t="s">
        <v>803</v>
      </c>
      <c r="BE31" s="35" t="s">
        <v>178</v>
      </c>
      <c r="BF31" s="59" t="s">
        <v>6</v>
      </c>
      <c r="BG31" s="33"/>
      <c r="BH31" s="33"/>
      <c r="BI31" s="33"/>
      <c r="BJ31" s="73"/>
      <c r="BK31" s="33"/>
      <c r="BL31" s="33"/>
      <c r="BM31" s="73"/>
      <c r="BN31" s="33"/>
      <c r="BO31" s="34" t="s">
        <v>952</v>
      </c>
      <c r="BP31" s="25" t="s">
        <v>637</v>
      </c>
      <c r="BQ31" s="54" t="s">
        <v>442</v>
      </c>
      <c r="BR31" s="36"/>
      <c r="BS31" s="36"/>
      <c r="BT31" s="34"/>
      <c r="BU31" s="33"/>
      <c r="BV31" s="33"/>
      <c r="BW31" s="33"/>
      <c r="BX31" s="73"/>
      <c r="BY31" s="33"/>
      <c r="BZ31" s="33"/>
      <c r="CA31" s="73"/>
      <c r="CB31" s="33"/>
      <c r="CC31" s="63"/>
      <c r="CD31" s="64"/>
      <c r="CE31" s="47"/>
      <c r="CF31" s="38"/>
      <c r="CG31" s="39" t="s">
        <v>480</v>
      </c>
      <c r="CH31" s="72" t="s">
        <v>1033</v>
      </c>
      <c r="CI31" s="33"/>
      <c r="CJ31" s="33"/>
      <c r="CK31" s="73"/>
      <c r="CL31" s="33"/>
      <c r="CM31" s="74"/>
      <c r="CN31"/>
      <c r="CP31" s="74"/>
      <c r="CR31"/>
      <c r="CU31"/>
    </row>
    <row r="32" spans="18:99" ht="17.25">
      <c r="R32" s="33"/>
      <c r="S32" s="33"/>
      <c r="T32" s="33"/>
      <c r="U32" s="33"/>
      <c r="V32" s="33"/>
      <c r="W32" s="33"/>
      <c r="Y32" s="33"/>
      <c r="Z32" s="33"/>
      <c r="AA32" s="33"/>
      <c r="AB32" s="33"/>
      <c r="AC32" s="33"/>
      <c r="AD32" s="33"/>
      <c r="AF32" s="36"/>
      <c r="AG32" s="36"/>
      <c r="AH32" s="36"/>
      <c r="AI32" s="34" t="s">
        <v>921</v>
      </c>
      <c r="AJ32" s="35" t="s">
        <v>192</v>
      </c>
      <c r="AK32" s="54" t="s">
        <v>979</v>
      </c>
      <c r="AL32" s="33"/>
      <c r="AM32" s="36"/>
      <c r="AN32" s="36"/>
      <c r="AO32" s="36"/>
      <c r="AP32" s="34" t="s">
        <v>839</v>
      </c>
      <c r="AQ32" s="35" t="s">
        <v>68</v>
      </c>
      <c r="AR32" s="54" t="s">
        <v>975</v>
      </c>
      <c r="AS32" s="33"/>
      <c r="AT32" s="36"/>
      <c r="AU32" s="36"/>
      <c r="AV32" s="36"/>
      <c r="AW32" s="34" t="s">
        <v>864</v>
      </c>
      <c r="AX32" s="35" t="s">
        <v>103</v>
      </c>
      <c r="AY32" s="59" t="s">
        <v>6</v>
      </c>
      <c r="AZ32" s="33"/>
      <c r="BA32" s="36"/>
      <c r="BB32" s="36"/>
      <c r="BC32" s="36"/>
      <c r="BD32" s="34" t="s">
        <v>804</v>
      </c>
      <c r="BE32" s="35" t="s">
        <v>133</v>
      </c>
      <c r="BF32" s="59" t="s">
        <v>6</v>
      </c>
      <c r="BG32" s="33"/>
      <c r="BH32" s="33"/>
      <c r="BI32" s="33"/>
      <c r="BJ32" s="73"/>
      <c r="BK32" s="33"/>
      <c r="BL32" s="33"/>
      <c r="BM32" s="73"/>
      <c r="BN32" s="33"/>
      <c r="BO32" s="34" t="s">
        <v>953</v>
      </c>
      <c r="BP32" s="25" t="s">
        <v>646</v>
      </c>
      <c r="BQ32" s="54" t="s">
        <v>442</v>
      </c>
      <c r="BR32" s="36"/>
      <c r="BS32" s="36"/>
      <c r="BT32" s="34"/>
      <c r="BU32" s="33"/>
      <c r="BV32" s="33"/>
      <c r="BW32" s="33"/>
      <c r="BX32" s="73"/>
      <c r="BY32" s="33"/>
      <c r="BZ32" s="33"/>
      <c r="CA32" s="73"/>
      <c r="CB32" s="33"/>
      <c r="CC32" s="63"/>
      <c r="CD32" s="64"/>
      <c r="CE32" s="47"/>
      <c r="CF32" s="38" t="s">
        <v>520</v>
      </c>
      <c r="CG32" s="39" t="s">
        <v>481</v>
      </c>
      <c r="CH32" s="72" t="s">
        <v>1035</v>
      </c>
      <c r="CI32" s="33"/>
      <c r="CJ32" s="33"/>
      <c r="CK32" s="73"/>
      <c r="CL32" s="33"/>
      <c r="CM32" s="74"/>
      <c r="CN32"/>
      <c r="CP32" s="74"/>
      <c r="CR32"/>
      <c r="CU32"/>
    </row>
    <row r="33" spans="18:99" ht="17.25">
      <c r="R33" s="33"/>
      <c r="S33" s="33"/>
      <c r="T33" s="33"/>
      <c r="U33" s="33"/>
      <c r="V33" s="33"/>
      <c r="W33" s="33"/>
      <c r="Y33" s="33"/>
      <c r="Z33" s="33"/>
      <c r="AA33" s="33"/>
      <c r="AB33" s="33"/>
      <c r="AC33" s="33"/>
      <c r="AD33" s="33"/>
      <c r="AF33" s="36"/>
      <c r="AG33" s="36"/>
      <c r="AH33" s="36"/>
      <c r="AI33" s="34" t="s">
        <v>922</v>
      </c>
      <c r="AJ33" s="35" t="s">
        <v>142</v>
      </c>
      <c r="AK33" s="54" t="s">
        <v>975</v>
      </c>
      <c r="AL33" s="33"/>
      <c r="AM33" s="36"/>
      <c r="AN33" s="36"/>
      <c r="AO33" s="36"/>
      <c r="AP33" s="34" t="s">
        <v>906</v>
      </c>
      <c r="AQ33" s="35" t="s">
        <v>203</v>
      </c>
      <c r="AR33" s="56" t="s">
        <v>989</v>
      </c>
      <c r="AS33" s="33"/>
      <c r="AT33" s="36"/>
      <c r="AU33" s="36"/>
      <c r="AV33" s="36"/>
      <c r="AW33" s="34" t="s">
        <v>865</v>
      </c>
      <c r="AX33" s="35" t="s">
        <v>187</v>
      </c>
      <c r="AY33" s="59" t="s">
        <v>6</v>
      </c>
      <c r="AZ33" s="33"/>
      <c r="BA33" s="36"/>
      <c r="BB33" s="36"/>
      <c r="BC33" s="36"/>
      <c r="BD33" s="34" t="s">
        <v>805</v>
      </c>
      <c r="BE33" s="35" t="s">
        <v>44</v>
      </c>
      <c r="BF33" s="59" t="s">
        <v>6</v>
      </c>
      <c r="BG33" s="33"/>
      <c r="BH33" s="33"/>
      <c r="BI33" s="33"/>
      <c r="BJ33" s="73"/>
      <c r="BK33" s="33"/>
      <c r="BL33" s="33"/>
      <c r="BM33" s="73"/>
      <c r="BN33" s="33"/>
      <c r="BO33" s="34" t="s">
        <v>954</v>
      </c>
      <c r="BP33" s="25" t="s">
        <v>653</v>
      </c>
      <c r="BQ33" s="54" t="s">
        <v>442</v>
      </c>
      <c r="BR33" s="36"/>
      <c r="BS33" s="36"/>
      <c r="BT33" s="34"/>
      <c r="BU33" s="33"/>
      <c r="BV33" s="33"/>
      <c r="BW33" s="33"/>
      <c r="BX33" s="73"/>
      <c r="BY33" s="33"/>
      <c r="BZ33" s="33"/>
      <c r="CA33" s="73"/>
      <c r="CB33" s="33"/>
      <c r="CC33" s="63"/>
      <c r="CD33" s="64"/>
      <c r="CE33" s="47"/>
      <c r="CF33" s="38"/>
      <c r="CG33" s="39" t="s">
        <v>482</v>
      </c>
      <c r="CH33" s="72" t="s">
        <v>1034</v>
      </c>
      <c r="CI33" s="33"/>
      <c r="CJ33" s="33"/>
      <c r="CK33" s="73"/>
      <c r="CL33" s="33"/>
      <c r="CM33" s="74"/>
      <c r="CN33"/>
      <c r="CP33" s="74"/>
      <c r="CR33"/>
      <c r="CU33"/>
    </row>
    <row r="34" spans="18:99" ht="17.25">
      <c r="R34" s="33"/>
      <c r="S34" s="33"/>
      <c r="T34" s="33"/>
      <c r="U34" s="33"/>
      <c r="V34" s="33"/>
      <c r="W34" s="33"/>
      <c r="Y34" s="33"/>
      <c r="Z34" s="33"/>
      <c r="AA34" s="33"/>
      <c r="AB34" s="33"/>
      <c r="AC34" s="33"/>
      <c r="AD34" s="33"/>
      <c r="AF34" s="36"/>
      <c r="AG34" s="36"/>
      <c r="AH34" s="36"/>
      <c r="AI34" s="34" t="s">
        <v>923</v>
      </c>
      <c r="AJ34" s="35" t="s">
        <v>151</v>
      </c>
      <c r="AK34" s="54" t="s">
        <v>980</v>
      </c>
      <c r="AL34" s="33"/>
      <c r="AM34" s="36"/>
      <c r="AN34" s="36"/>
      <c r="AO34" s="36"/>
      <c r="AP34" s="34" t="s">
        <v>907</v>
      </c>
      <c r="AQ34" s="35" t="s">
        <v>51</v>
      </c>
      <c r="AR34" s="56" t="s">
        <v>989</v>
      </c>
      <c r="AS34" s="33"/>
      <c r="AT34" s="36"/>
      <c r="AU34" s="36"/>
      <c r="AV34" s="36"/>
      <c r="AW34" s="34" t="s">
        <v>866</v>
      </c>
      <c r="AX34" s="35" t="s">
        <v>680</v>
      </c>
      <c r="AY34" s="59" t="s">
        <v>6</v>
      </c>
      <c r="AZ34" s="33"/>
      <c r="BA34" s="36"/>
      <c r="BB34" s="36"/>
      <c r="BC34" s="36"/>
      <c r="BD34" s="34" t="s">
        <v>806</v>
      </c>
      <c r="BE34" s="35" t="s">
        <v>701</v>
      </c>
      <c r="BF34" s="59" t="s">
        <v>443</v>
      </c>
      <c r="BG34" s="33"/>
      <c r="BH34" s="33"/>
      <c r="BI34" s="33"/>
      <c r="BJ34" s="73"/>
      <c r="BK34" s="33"/>
      <c r="BL34" s="33"/>
      <c r="BM34" s="73"/>
      <c r="BN34" s="33"/>
      <c r="BO34" s="33"/>
      <c r="BP34" s="33"/>
      <c r="BQ34" s="73"/>
      <c r="BR34" s="33"/>
      <c r="BS34" s="33"/>
      <c r="BT34" s="73"/>
      <c r="BU34" s="33"/>
      <c r="BV34" s="33"/>
      <c r="BW34" s="33"/>
      <c r="BX34" s="73"/>
      <c r="BY34" s="33"/>
      <c r="BZ34" s="33"/>
      <c r="CA34" s="73"/>
      <c r="CB34" s="33"/>
      <c r="CC34" s="63"/>
      <c r="CD34" s="64"/>
      <c r="CE34" s="47"/>
      <c r="CF34" s="38"/>
      <c r="CG34" s="39" t="s">
        <v>483</v>
      </c>
      <c r="CH34" s="72" t="s">
        <v>1035</v>
      </c>
      <c r="CI34" s="33"/>
      <c r="CJ34" s="33"/>
      <c r="CK34" s="73"/>
      <c r="CL34" s="33"/>
      <c r="CM34" s="50"/>
      <c r="CN34" s="48"/>
      <c r="CP34" s="74"/>
      <c r="CR34"/>
      <c r="CU34"/>
    </row>
    <row r="35" spans="18:99" ht="17.25">
      <c r="R35" s="33"/>
      <c r="S35" s="33"/>
      <c r="T35" s="33"/>
      <c r="U35" s="33"/>
      <c r="V35" s="33"/>
      <c r="W35" s="33"/>
      <c r="Y35" s="33"/>
      <c r="Z35" s="33"/>
      <c r="AA35" s="33"/>
      <c r="AB35" s="33"/>
      <c r="AC35" s="33"/>
      <c r="AD35" s="33"/>
      <c r="AF35" s="36"/>
      <c r="AG35" s="36"/>
      <c r="AH35" s="36"/>
      <c r="AI35" s="34" t="s">
        <v>923</v>
      </c>
      <c r="AJ35" s="35" t="s">
        <v>101</v>
      </c>
      <c r="AK35" s="54" t="s">
        <v>631</v>
      </c>
      <c r="AL35" s="33"/>
      <c r="AM35" s="36"/>
      <c r="AN35" s="36"/>
      <c r="AO35" s="36"/>
      <c r="AP35" s="34" t="s">
        <v>847</v>
      </c>
      <c r="AQ35" s="35" t="s">
        <v>661</v>
      </c>
      <c r="AR35" s="56" t="s">
        <v>991</v>
      </c>
      <c r="AS35" s="33"/>
      <c r="AT35" s="36"/>
      <c r="AU35" s="36"/>
      <c r="AV35" s="36"/>
      <c r="AW35" s="34" t="s">
        <v>823</v>
      </c>
      <c r="AX35" s="35" t="s">
        <v>154</v>
      </c>
      <c r="AY35" s="59" t="s">
        <v>6</v>
      </c>
      <c r="AZ35" s="33"/>
      <c r="BA35" s="36"/>
      <c r="BB35" s="36"/>
      <c r="BC35" s="36"/>
      <c r="BD35" s="34" t="s">
        <v>807</v>
      </c>
      <c r="BE35" s="35" t="s">
        <v>702</v>
      </c>
      <c r="BF35" s="59" t="s">
        <v>443</v>
      </c>
      <c r="BG35" s="33"/>
      <c r="BH35" s="33"/>
      <c r="BI35" s="33"/>
      <c r="BJ35" s="73"/>
      <c r="BK35" s="33"/>
      <c r="BL35" s="33"/>
      <c r="BM35" s="73"/>
      <c r="BN35" s="33"/>
      <c r="BO35" s="33"/>
      <c r="BP35" s="33"/>
      <c r="BQ35" s="73"/>
      <c r="BR35" s="33"/>
      <c r="BS35" s="33"/>
      <c r="BT35" s="73"/>
      <c r="BU35" s="33"/>
      <c r="BV35" s="33"/>
      <c r="BW35" s="33"/>
      <c r="BX35" s="73"/>
      <c r="BY35" s="33"/>
      <c r="BZ35" s="33"/>
      <c r="CA35" s="73"/>
      <c r="CB35" s="33"/>
      <c r="CC35" s="63"/>
      <c r="CD35" s="64"/>
      <c r="CE35" s="47"/>
      <c r="CF35" s="38"/>
      <c r="CG35" s="39" t="s">
        <v>484</v>
      </c>
      <c r="CH35" s="72" t="s">
        <v>1033</v>
      </c>
      <c r="CI35" s="33"/>
      <c r="CJ35" s="33"/>
      <c r="CK35" s="73"/>
      <c r="CL35" s="33"/>
      <c r="CM35" s="73"/>
      <c r="CN35" s="33"/>
      <c r="CO35" s="48"/>
      <c r="CP35" s="73"/>
      <c r="CR35"/>
      <c r="CU35"/>
    </row>
    <row r="36" spans="18:99" ht="17.25">
      <c r="R36" s="33"/>
      <c r="S36" s="33"/>
      <c r="T36" s="33"/>
      <c r="U36" s="33"/>
      <c r="V36" s="33"/>
      <c r="W36" s="33"/>
      <c r="Y36" s="33"/>
      <c r="Z36" s="33"/>
      <c r="AA36" s="33"/>
      <c r="AB36" s="33"/>
      <c r="AC36" s="33"/>
      <c r="AD36" s="33"/>
      <c r="AF36" s="36"/>
      <c r="AG36" s="36"/>
      <c r="AH36" s="36"/>
      <c r="AI36" s="34" t="s">
        <v>923</v>
      </c>
      <c r="AJ36" s="35" t="s">
        <v>114</v>
      </c>
      <c r="AK36" s="54" t="s">
        <v>631</v>
      </c>
      <c r="AL36" s="33"/>
      <c r="AM36" s="36"/>
      <c r="AN36" s="36"/>
      <c r="AO36" s="36"/>
      <c r="AP36" s="34" t="s">
        <v>881</v>
      </c>
      <c r="AQ36" s="35" t="s">
        <v>163</v>
      </c>
      <c r="AR36" s="56" t="s">
        <v>1029</v>
      </c>
      <c r="AS36" s="33"/>
      <c r="AT36" s="36"/>
      <c r="AU36" s="36"/>
      <c r="AV36" s="36"/>
      <c r="AW36" s="34" t="s">
        <v>867</v>
      </c>
      <c r="AX36" s="35" t="s">
        <v>83</v>
      </c>
      <c r="AY36" s="59" t="s">
        <v>6</v>
      </c>
      <c r="AZ36" s="33"/>
      <c r="BA36" s="36"/>
      <c r="BB36" s="36"/>
      <c r="BC36" s="36"/>
      <c r="BD36" s="34" t="s">
        <v>808</v>
      </c>
      <c r="BE36" s="35" t="s">
        <v>703</v>
      </c>
      <c r="BF36" s="59" t="s">
        <v>443</v>
      </c>
      <c r="BG36" s="33"/>
      <c r="BH36" s="33"/>
      <c r="BI36" s="33"/>
      <c r="BJ36" s="73"/>
      <c r="BK36" s="33"/>
      <c r="BL36" s="33"/>
      <c r="BM36" s="73"/>
      <c r="BN36" s="33"/>
      <c r="BO36" s="33"/>
      <c r="BP36" s="33"/>
      <c r="BQ36" s="73"/>
      <c r="BR36" s="33"/>
      <c r="BS36" s="33"/>
      <c r="BT36" s="73"/>
      <c r="BU36" s="33"/>
      <c r="BV36" s="33"/>
      <c r="BW36" s="33"/>
      <c r="BX36" s="73"/>
      <c r="BY36" s="33"/>
      <c r="BZ36" s="33"/>
      <c r="CA36" s="73"/>
      <c r="CB36" s="33"/>
      <c r="CC36" s="63"/>
      <c r="CD36" s="64"/>
      <c r="CE36" s="47"/>
      <c r="CF36" s="38"/>
      <c r="CG36" s="39" t="s">
        <v>485</v>
      </c>
      <c r="CH36" s="72" t="s">
        <v>1035</v>
      </c>
      <c r="CI36" s="33"/>
      <c r="CJ36" s="33"/>
      <c r="CK36" s="73"/>
      <c r="CL36" s="33"/>
      <c r="CM36" s="73"/>
      <c r="CN36" s="33"/>
      <c r="CO36" s="33"/>
      <c r="CP36" s="73"/>
      <c r="CR36"/>
      <c r="CU36"/>
    </row>
    <row r="37" spans="18:99" ht="17.25">
      <c r="R37" s="33"/>
      <c r="S37" s="33"/>
      <c r="T37" s="33"/>
      <c r="U37" s="33"/>
      <c r="V37" s="33"/>
      <c r="W37" s="33"/>
      <c r="Y37" s="33"/>
      <c r="Z37" s="33"/>
      <c r="AA37" s="33"/>
      <c r="AB37" s="33"/>
      <c r="AC37" s="33"/>
      <c r="AD37" s="33"/>
      <c r="AF37" s="36"/>
      <c r="AG37" s="36"/>
      <c r="AH37" s="36"/>
      <c r="AI37" s="25" t="s">
        <v>924</v>
      </c>
      <c r="AJ37" s="35" t="s">
        <v>157</v>
      </c>
      <c r="AK37" s="54" t="s">
        <v>631</v>
      </c>
      <c r="AL37" s="33"/>
      <c r="AM37" s="36"/>
      <c r="AN37" s="36"/>
      <c r="AO37" s="36"/>
      <c r="AP37" s="34" t="s">
        <v>908</v>
      </c>
      <c r="AQ37" s="35" t="s">
        <v>69</v>
      </c>
      <c r="AR37" s="56" t="s">
        <v>444</v>
      </c>
      <c r="AS37" s="33"/>
      <c r="AT37" s="36"/>
      <c r="AU37" s="36"/>
      <c r="AV37" s="36"/>
      <c r="AW37" s="34" t="s">
        <v>868</v>
      </c>
      <c r="AX37" s="35" t="s">
        <v>118</v>
      </c>
      <c r="AY37" s="59" t="s">
        <v>6</v>
      </c>
      <c r="AZ37" s="33"/>
      <c r="BA37" s="36"/>
      <c r="BB37" s="36"/>
      <c r="BC37" s="36"/>
      <c r="BD37" s="34" t="s">
        <v>809</v>
      </c>
      <c r="BE37" s="35" t="s">
        <v>704</v>
      </c>
      <c r="BF37" s="59" t="s">
        <v>6</v>
      </c>
      <c r="BG37" s="33"/>
      <c r="BH37" s="33"/>
      <c r="BI37" s="33"/>
      <c r="BJ37" s="73"/>
      <c r="BK37" s="33"/>
      <c r="BL37" s="33"/>
      <c r="BM37" s="73"/>
      <c r="BN37" s="33"/>
      <c r="BO37" s="33"/>
      <c r="BP37" s="33"/>
      <c r="BQ37" s="73"/>
      <c r="BR37" s="33"/>
      <c r="BS37" s="33"/>
      <c r="BT37" s="73"/>
      <c r="BU37" s="33"/>
      <c r="BV37" s="33"/>
      <c r="BW37" s="33"/>
      <c r="BX37" s="73"/>
      <c r="BY37" s="33"/>
      <c r="BZ37" s="33"/>
      <c r="CA37" s="73"/>
      <c r="CB37" s="33"/>
      <c r="CC37" s="63"/>
      <c r="CD37" s="64"/>
      <c r="CE37" s="47"/>
      <c r="CF37" s="38"/>
      <c r="CG37" s="39" t="s">
        <v>486</v>
      </c>
      <c r="CH37" s="72" t="s">
        <v>1034</v>
      </c>
      <c r="CI37" s="33"/>
      <c r="CJ37" s="33"/>
      <c r="CK37" s="73"/>
      <c r="CL37" s="33"/>
      <c r="CM37" s="73"/>
      <c r="CN37" s="33"/>
      <c r="CO37" s="33"/>
      <c r="CP37" s="73"/>
      <c r="CR37"/>
      <c r="CU37"/>
    </row>
    <row r="38" spans="18:99" ht="17.25">
      <c r="R38" s="33"/>
      <c r="S38" s="33"/>
      <c r="T38" s="33"/>
      <c r="U38" s="33"/>
      <c r="V38" s="33"/>
      <c r="W38" s="33"/>
      <c r="Y38" s="33"/>
      <c r="Z38" s="33"/>
      <c r="AA38" s="33"/>
      <c r="AB38" s="33"/>
      <c r="AC38" s="33"/>
      <c r="AD38" s="33"/>
      <c r="AF38" s="36"/>
      <c r="AG38" s="36"/>
      <c r="AH38" s="36"/>
      <c r="AI38" s="34" t="s">
        <v>872</v>
      </c>
      <c r="AJ38" s="35" t="s">
        <v>108</v>
      </c>
      <c r="AK38" s="54" t="s">
        <v>631</v>
      </c>
      <c r="AL38" s="33"/>
      <c r="AM38" s="36"/>
      <c r="AN38" s="36"/>
      <c r="AO38" s="36"/>
      <c r="AP38" s="34" t="s">
        <v>892</v>
      </c>
      <c r="AQ38" s="35" t="s">
        <v>12</v>
      </c>
      <c r="AR38" s="56" t="s">
        <v>972</v>
      </c>
      <c r="AS38" s="33"/>
      <c r="AT38" s="36"/>
      <c r="AU38" s="36"/>
      <c r="AV38" s="36"/>
      <c r="AW38" s="34" t="s">
        <v>869</v>
      </c>
      <c r="AX38" s="35" t="s">
        <v>681</v>
      </c>
      <c r="AY38" s="59" t="s">
        <v>6</v>
      </c>
      <c r="AZ38" s="33"/>
      <c r="BA38" s="36"/>
      <c r="BB38" s="36"/>
      <c r="BC38" s="36"/>
      <c r="BD38" s="34" t="s">
        <v>810</v>
      </c>
      <c r="BE38" s="35" t="s">
        <v>707</v>
      </c>
      <c r="BF38" s="59" t="s">
        <v>6</v>
      </c>
      <c r="BG38" s="33"/>
      <c r="BH38" s="33"/>
      <c r="BI38" s="33"/>
      <c r="BJ38" s="73"/>
      <c r="BK38" s="33"/>
      <c r="BL38" s="33"/>
      <c r="BM38" s="73"/>
      <c r="BN38" s="33"/>
      <c r="BO38" s="33"/>
      <c r="BP38" s="33"/>
      <c r="BQ38" s="73"/>
      <c r="BR38" s="33"/>
      <c r="BS38" s="33"/>
      <c r="BT38" s="73"/>
      <c r="BU38" s="33"/>
      <c r="BV38" s="33"/>
      <c r="BW38" s="33"/>
      <c r="BX38" s="73"/>
      <c r="BY38" s="33"/>
      <c r="BZ38" s="33"/>
      <c r="CA38" s="73"/>
      <c r="CB38" s="33"/>
      <c r="CC38" s="63"/>
      <c r="CD38" s="64"/>
      <c r="CE38" s="47"/>
      <c r="CF38" s="38"/>
      <c r="CG38" s="39" t="s">
        <v>487</v>
      </c>
      <c r="CH38" s="72" t="s">
        <v>1035</v>
      </c>
      <c r="CI38" s="33"/>
      <c r="CJ38" s="33"/>
      <c r="CK38" s="73"/>
      <c r="CL38" s="33"/>
      <c r="CM38" s="73"/>
      <c r="CN38" s="33"/>
      <c r="CO38" s="33"/>
      <c r="CP38" s="73"/>
      <c r="CR38"/>
      <c r="CU38"/>
    </row>
    <row r="39" spans="18:99" ht="17.25">
      <c r="R39" s="33"/>
      <c r="S39" s="33"/>
      <c r="T39" s="33"/>
      <c r="U39" s="33"/>
      <c r="V39" s="33"/>
      <c r="W39" s="33"/>
      <c r="Y39" s="33"/>
      <c r="Z39" s="33"/>
      <c r="AA39" s="33"/>
      <c r="AB39" s="33"/>
      <c r="AC39" s="33"/>
      <c r="AD39" s="33"/>
      <c r="AF39" s="36"/>
      <c r="AG39" s="36"/>
      <c r="AH39" s="36"/>
      <c r="AI39" s="34" t="s">
        <v>875</v>
      </c>
      <c r="AJ39" s="35" t="s">
        <v>146</v>
      </c>
      <c r="AK39" s="54" t="s">
        <v>983</v>
      </c>
      <c r="AL39" s="33"/>
      <c r="AM39" s="36"/>
      <c r="AN39" s="36"/>
      <c r="AO39" s="36"/>
      <c r="AP39" s="34" t="s">
        <v>909</v>
      </c>
      <c r="AQ39" s="35" t="s">
        <v>52</v>
      </c>
      <c r="AR39" s="34"/>
      <c r="AS39" s="33"/>
      <c r="AT39" s="36"/>
      <c r="AU39" s="36"/>
      <c r="AV39" s="36"/>
      <c r="AW39" s="34" t="s">
        <v>870</v>
      </c>
      <c r="AX39" s="35" t="s">
        <v>682</v>
      </c>
      <c r="AY39" s="59" t="s">
        <v>999</v>
      </c>
      <c r="AZ39" s="33"/>
      <c r="BA39" s="36"/>
      <c r="BB39" s="36"/>
      <c r="BC39" s="36"/>
      <c r="BD39" s="34" t="s">
        <v>811</v>
      </c>
      <c r="BE39" s="35" t="s">
        <v>125</v>
      </c>
      <c r="BF39" s="59" t="s">
        <v>628</v>
      </c>
      <c r="BG39" s="33"/>
      <c r="BH39" s="33"/>
      <c r="BI39" s="33"/>
      <c r="BJ39" s="73"/>
      <c r="BK39" s="33"/>
      <c r="BL39" s="33"/>
      <c r="BM39" s="73"/>
      <c r="BN39" s="33"/>
      <c r="BO39" s="33"/>
      <c r="BP39" s="33"/>
      <c r="BQ39" s="73"/>
      <c r="BR39" s="33"/>
      <c r="BS39" s="33"/>
      <c r="BT39" s="73"/>
      <c r="BU39" s="33"/>
      <c r="BV39" s="33"/>
      <c r="BW39" s="33"/>
      <c r="BX39" s="73"/>
      <c r="BY39" s="33"/>
      <c r="BZ39" s="33"/>
      <c r="CA39" s="73"/>
      <c r="CB39" s="33"/>
      <c r="CC39" s="63"/>
      <c r="CD39" s="64"/>
      <c r="CE39" s="47"/>
      <c r="CF39" s="38"/>
      <c r="CG39" s="39" t="s">
        <v>488</v>
      </c>
      <c r="CH39" s="72" t="s">
        <v>1035</v>
      </c>
      <c r="CI39" s="33"/>
      <c r="CJ39" s="33"/>
      <c r="CK39" s="73"/>
      <c r="CL39" s="33"/>
      <c r="CM39" s="73"/>
      <c r="CN39" s="33"/>
      <c r="CO39" s="33"/>
      <c r="CP39" s="73"/>
      <c r="CR39"/>
      <c r="CU39"/>
    </row>
    <row r="40" spans="18:99" ht="17.25">
      <c r="R40" s="33"/>
      <c r="S40" s="33"/>
      <c r="T40" s="33"/>
      <c r="U40" s="33"/>
      <c r="V40" s="33"/>
      <c r="W40" s="33"/>
      <c r="Y40" s="33"/>
      <c r="Z40" s="33"/>
      <c r="AA40" s="33"/>
      <c r="AB40" s="33"/>
      <c r="AC40" s="33"/>
      <c r="AD40" s="33"/>
      <c r="AF40" s="36"/>
      <c r="AG40" s="36"/>
      <c r="AH40" s="36"/>
      <c r="AI40" s="34" t="s">
        <v>875</v>
      </c>
      <c r="AJ40" s="35" t="s">
        <v>653</v>
      </c>
      <c r="AK40" s="54" t="s">
        <v>986</v>
      </c>
      <c r="AL40" s="33"/>
      <c r="AM40" s="36"/>
      <c r="AN40" s="36"/>
      <c r="AO40" s="36"/>
      <c r="AP40" s="34" t="s">
        <v>892</v>
      </c>
      <c r="AQ40" s="35" t="s">
        <v>662</v>
      </c>
      <c r="AR40" s="34"/>
      <c r="AS40" s="33"/>
      <c r="AT40" s="36"/>
      <c r="AU40" s="36"/>
      <c r="AV40" s="36"/>
      <c r="AW40" s="34" t="s">
        <v>837</v>
      </c>
      <c r="AX40" s="35" t="s">
        <v>21</v>
      </c>
      <c r="AY40" s="59" t="s">
        <v>628</v>
      </c>
      <c r="AZ40" s="33"/>
      <c r="BA40" s="36"/>
      <c r="BB40" s="36"/>
      <c r="BC40" s="36"/>
      <c r="BD40" s="34" t="s">
        <v>798</v>
      </c>
      <c r="BE40" s="35" t="s">
        <v>196</v>
      </c>
      <c r="BF40" s="59" t="s">
        <v>628</v>
      </c>
      <c r="BG40" s="33"/>
      <c r="BH40" s="33"/>
      <c r="BI40" s="33"/>
      <c r="BJ40" s="73"/>
      <c r="BK40" s="33"/>
      <c r="BL40" s="33"/>
      <c r="BM40" s="73"/>
      <c r="BN40" s="33"/>
      <c r="BO40" s="33"/>
      <c r="BP40" s="33"/>
      <c r="BQ40" s="73"/>
      <c r="BR40" s="33"/>
      <c r="BS40" s="33"/>
      <c r="BT40" s="73"/>
      <c r="BU40" s="33"/>
      <c r="BV40" s="33"/>
      <c r="BW40" s="33"/>
      <c r="BX40" s="73"/>
      <c r="BY40" s="33"/>
      <c r="BZ40" s="33"/>
      <c r="CA40" s="73"/>
      <c r="CB40" s="33"/>
      <c r="CC40" s="63"/>
      <c r="CD40" s="64"/>
      <c r="CE40" s="47"/>
      <c r="CF40" s="38"/>
      <c r="CG40" s="39" t="s">
        <v>490</v>
      </c>
      <c r="CH40" s="72" t="s">
        <v>1034</v>
      </c>
      <c r="CI40" s="33"/>
      <c r="CJ40" s="33"/>
      <c r="CK40" s="73"/>
      <c r="CL40" s="33"/>
      <c r="CM40" s="73"/>
      <c r="CN40" s="33"/>
      <c r="CO40" s="33"/>
      <c r="CP40" s="73"/>
      <c r="CR40"/>
      <c r="CU40"/>
    </row>
    <row r="41" spans="18:99" ht="17.25">
      <c r="R41" s="33"/>
      <c r="S41" s="33"/>
      <c r="T41" s="33"/>
      <c r="U41" s="33"/>
      <c r="V41" s="33"/>
      <c r="W41" s="33"/>
      <c r="Y41" s="33"/>
      <c r="Z41" s="33"/>
      <c r="AA41" s="33"/>
      <c r="AB41" s="33"/>
      <c r="AC41" s="33"/>
      <c r="AD41" s="33"/>
      <c r="AF41" s="36"/>
      <c r="AG41" s="36"/>
      <c r="AH41" s="36"/>
      <c r="AI41" s="34" t="s">
        <v>925</v>
      </c>
      <c r="AJ41" s="35" t="s">
        <v>71</v>
      </c>
      <c r="AK41" s="54" t="s">
        <v>986</v>
      </c>
      <c r="AL41" s="33"/>
      <c r="AM41" s="36"/>
      <c r="AN41" s="36"/>
      <c r="AO41" s="36"/>
      <c r="AP41" s="34" t="s">
        <v>910</v>
      </c>
      <c r="AQ41" s="35" t="s">
        <v>666</v>
      </c>
      <c r="AR41" s="34"/>
      <c r="AS41" s="33"/>
      <c r="AT41" s="36"/>
      <c r="AU41" s="36"/>
      <c r="AV41" s="36"/>
      <c r="AW41" s="34" t="s">
        <v>838</v>
      </c>
      <c r="AX41" s="35" t="s">
        <v>117</v>
      </c>
      <c r="AY41" s="59" t="s">
        <v>997</v>
      </c>
      <c r="AZ41" s="33"/>
      <c r="BA41" s="36"/>
      <c r="BB41" s="36"/>
      <c r="BC41" s="36"/>
      <c r="BD41" s="25" t="s">
        <v>812</v>
      </c>
      <c r="BE41" s="35" t="s">
        <v>708</v>
      </c>
      <c r="BF41" s="59" t="s">
        <v>628</v>
      </c>
      <c r="BG41" s="33"/>
      <c r="BH41" s="33"/>
      <c r="BI41" s="33"/>
      <c r="BJ41" s="73"/>
      <c r="BK41" s="33"/>
      <c r="BL41" s="33"/>
      <c r="BM41" s="73"/>
      <c r="BN41" s="33"/>
      <c r="BO41" s="33"/>
      <c r="BP41" s="33"/>
      <c r="BQ41" s="73"/>
      <c r="BR41" s="33"/>
      <c r="BS41" s="33"/>
      <c r="BT41" s="73"/>
      <c r="BU41" s="33"/>
      <c r="BV41" s="33"/>
      <c r="BW41" s="33"/>
      <c r="BX41" s="73"/>
      <c r="BY41" s="33"/>
      <c r="BZ41" s="33"/>
      <c r="CA41" s="73"/>
      <c r="CB41" s="33"/>
      <c r="CC41" s="63"/>
      <c r="CD41" s="64"/>
      <c r="CE41" s="47"/>
      <c r="CF41" s="38" t="s">
        <v>521</v>
      </c>
      <c r="CG41" s="39" t="s">
        <v>491</v>
      </c>
      <c r="CH41" s="72" t="s">
        <v>1033</v>
      </c>
      <c r="CI41" s="33"/>
      <c r="CJ41" s="33"/>
      <c r="CK41" s="73"/>
      <c r="CL41" s="33"/>
      <c r="CM41" s="73"/>
      <c r="CN41" s="33"/>
      <c r="CO41" s="33"/>
      <c r="CP41" s="73"/>
      <c r="CR41"/>
      <c r="CU41"/>
    </row>
    <row r="42" spans="18:99" ht="17.25">
      <c r="R42" s="33"/>
      <c r="S42" s="33"/>
      <c r="T42" s="33"/>
      <c r="U42" s="33"/>
      <c r="V42" s="33"/>
      <c r="W42" s="33"/>
      <c r="Y42" s="33"/>
      <c r="Z42" s="33"/>
      <c r="AA42" s="33"/>
      <c r="AB42" s="33"/>
      <c r="AC42" s="33"/>
      <c r="AD42" s="33"/>
      <c r="AF42" s="36"/>
      <c r="AG42" s="36"/>
      <c r="AH42" s="36"/>
      <c r="AI42" s="34" t="s">
        <v>926</v>
      </c>
      <c r="AJ42" s="35" t="s">
        <v>168</v>
      </c>
      <c r="AK42" s="54" t="s">
        <v>987</v>
      </c>
      <c r="AL42" s="33"/>
      <c r="AM42" s="242"/>
      <c r="AN42" s="242"/>
      <c r="AO42" s="242"/>
      <c r="AP42" s="242"/>
      <c r="AQ42" s="242"/>
      <c r="AR42" s="242"/>
      <c r="AS42" s="33"/>
      <c r="AT42" s="36"/>
      <c r="AU42" s="36"/>
      <c r="AV42" s="36"/>
      <c r="AW42" s="34" t="s">
        <v>871</v>
      </c>
      <c r="AX42" s="35" t="s">
        <v>50</v>
      </c>
      <c r="AY42" s="59" t="s">
        <v>1003</v>
      </c>
      <c r="AZ42" s="33"/>
      <c r="BA42" s="36"/>
      <c r="BB42" s="36"/>
      <c r="BC42" s="36"/>
      <c r="BD42" s="34" t="s">
        <v>813</v>
      </c>
      <c r="BE42" s="35" t="s">
        <v>143</v>
      </c>
      <c r="BF42" s="59" t="s">
        <v>628</v>
      </c>
      <c r="BG42" s="33"/>
      <c r="BH42" s="33"/>
      <c r="BI42" s="33"/>
      <c r="BJ42" s="73"/>
      <c r="BK42" s="33"/>
      <c r="BL42" s="33"/>
      <c r="BM42" s="73"/>
      <c r="BN42" s="33"/>
      <c r="BO42" s="33"/>
      <c r="BP42" s="33"/>
      <c r="BQ42" s="73"/>
      <c r="BR42" s="33"/>
      <c r="BS42" s="33"/>
      <c r="BT42" s="73"/>
      <c r="BU42" s="33"/>
      <c r="BV42" s="33"/>
      <c r="BW42" s="33"/>
      <c r="BX42" s="73"/>
      <c r="BY42" s="33"/>
      <c r="BZ42" s="33"/>
      <c r="CA42" s="73"/>
      <c r="CB42" s="33"/>
      <c r="CC42" s="63"/>
      <c r="CD42" s="64"/>
      <c r="CE42" s="47"/>
      <c r="CF42" s="38"/>
      <c r="CG42" s="39" t="s">
        <v>492</v>
      </c>
      <c r="CH42" s="72" t="s">
        <v>1037</v>
      </c>
      <c r="CI42" s="33"/>
      <c r="CJ42" s="33"/>
      <c r="CK42" s="73"/>
      <c r="CL42" s="33"/>
      <c r="CM42" s="73"/>
      <c r="CN42" s="33"/>
      <c r="CO42" s="33"/>
      <c r="CP42" s="73"/>
      <c r="CR42"/>
      <c r="CU42"/>
    </row>
    <row r="43" spans="18:99" ht="17.25">
      <c r="R43" s="33"/>
      <c r="S43" s="33"/>
      <c r="T43" s="33"/>
      <c r="U43" s="33"/>
      <c r="V43" s="33"/>
      <c r="W43" s="33"/>
      <c r="Y43" s="33"/>
      <c r="Z43" s="33"/>
      <c r="AA43" s="33"/>
      <c r="AB43" s="33"/>
      <c r="AC43" s="33"/>
      <c r="AD43" s="33"/>
      <c r="AF43" s="36"/>
      <c r="AG43" s="36"/>
      <c r="AH43" s="36"/>
      <c r="AI43" s="34" t="s">
        <v>927</v>
      </c>
      <c r="AJ43" s="35" t="s">
        <v>66</v>
      </c>
      <c r="AK43" s="54" t="s">
        <v>973</v>
      </c>
      <c r="AL43" s="33"/>
      <c r="AM43" s="33"/>
      <c r="AN43" s="33"/>
      <c r="AO43" s="33"/>
      <c r="AP43" s="33"/>
      <c r="AQ43" s="33"/>
      <c r="AR43" s="33"/>
      <c r="AS43" s="33"/>
      <c r="AT43" s="36"/>
      <c r="AU43" s="36"/>
      <c r="AV43" s="36"/>
      <c r="AW43" s="34" t="s">
        <v>872</v>
      </c>
      <c r="AX43" s="35" t="s">
        <v>20</v>
      </c>
      <c r="AY43" s="59" t="s">
        <v>628</v>
      </c>
      <c r="AZ43" s="33"/>
      <c r="BA43" s="36"/>
      <c r="BB43" s="36"/>
      <c r="BC43" s="36"/>
      <c r="BD43" s="34" t="s">
        <v>814</v>
      </c>
      <c r="BE43" s="35" t="s">
        <v>39</v>
      </c>
      <c r="BF43" s="59" t="s">
        <v>628</v>
      </c>
      <c r="BG43" s="33"/>
      <c r="BH43" s="33"/>
      <c r="BI43" s="33"/>
      <c r="BJ43" s="73"/>
      <c r="BK43" s="33"/>
      <c r="BL43" s="33"/>
      <c r="BM43" s="73"/>
      <c r="BN43" s="33"/>
      <c r="BO43" s="33"/>
      <c r="BP43" s="33"/>
      <c r="BQ43" s="73"/>
      <c r="BR43" s="33"/>
      <c r="BS43" s="33"/>
      <c r="BT43" s="73"/>
      <c r="BU43" s="33"/>
      <c r="BV43" s="33"/>
      <c r="BW43" s="33"/>
      <c r="BX43" s="73"/>
      <c r="BY43" s="33"/>
      <c r="BZ43" s="33"/>
      <c r="CA43" s="73"/>
      <c r="CB43" s="33"/>
      <c r="CC43" s="63"/>
      <c r="CD43" s="64"/>
      <c r="CE43" s="47"/>
      <c r="CF43" s="38"/>
      <c r="CG43" s="39" t="s">
        <v>493</v>
      </c>
      <c r="CH43" s="72" t="s">
        <v>1034</v>
      </c>
      <c r="CI43" s="33"/>
      <c r="CJ43" s="33"/>
      <c r="CK43" s="73"/>
      <c r="CL43" s="33"/>
      <c r="CM43" s="73"/>
      <c r="CN43" s="33"/>
      <c r="CO43" s="33"/>
      <c r="CP43" s="73"/>
      <c r="CR43"/>
      <c r="CU43"/>
    </row>
    <row r="44" spans="18:99" ht="17.25">
      <c r="R44" s="33"/>
      <c r="S44" s="33"/>
      <c r="T44" s="33"/>
      <c r="U44" s="33"/>
      <c r="V44" s="33"/>
      <c r="W44" s="33"/>
      <c r="Y44" s="33"/>
      <c r="Z44" s="33"/>
      <c r="AA44" s="33"/>
      <c r="AB44" s="33"/>
      <c r="AC44" s="33"/>
      <c r="AD44" s="33"/>
      <c r="AF44" s="36"/>
      <c r="AG44" s="36"/>
      <c r="AH44" s="36"/>
      <c r="AI44" s="34" t="s">
        <v>926</v>
      </c>
      <c r="AJ44" s="24" t="s">
        <v>644</v>
      </c>
      <c r="AK44" s="56" t="s">
        <v>444</v>
      </c>
      <c r="AL44" s="33"/>
      <c r="AM44" s="33"/>
      <c r="AN44" s="33"/>
      <c r="AO44" s="33"/>
      <c r="AP44" s="33"/>
      <c r="AQ44" s="33"/>
      <c r="AR44" s="33"/>
      <c r="AS44" s="33"/>
      <c r="AT44" s="36"/>
      <c r="AU44" s="36"/>
      <c r="AV44" s="36"/>
      <c r="AW44" s="34" t="s">
        <v>873</v>
      </c>
      <c r="AX44" s="35" t="s">
        <v>45</v>
      </c>
      <c r="AY44" s="59" t="s">
        <v>628</v>
      </c>
      <c r="AZ44" s="33"/>
      <c r="BA44" s="36"/>
      <c r="BB44" s="36"/>
      <c r="BC44" s="36"/>
      <c r="BD44" s="34" t="s">
        <v>815</v>
      </c>
      <c r="BE44" s="35" t="s">
        <v>710</v>
      </c>
      <c r="BF44" s="59" t="s">
        <v>994</v>
      </c>
      <c r="BG44" s="33"/>
      <c r="BH44" s="33"/>
      <c r="BI44" s="33"/>
      <c r="BJ44" s="73"/>
      <c r="BK44" s="33"/>
      <c r="BL44" s="33"/>
      <c r="BM44" s="73"/>
      <c r="BN44" s="33"/>
      <c r="BO44" s="33"/>
      <c r="BP44" s="33"/>
      <c r="BQ44" s="73"/>
      <c r="BR44" s="33"/>
      <c r="BS44" s="33"/>
      <c r="BT44" s="73"/>
      <c r="BU44" s="33"/>
      <c r="BV44" s="33"/>
      <c r="BW44" s="33"/>
      <c r="BX44" s="73"/>
      <c r="BY44" s="33"/>
      <c r="BZ44" s="33"/>
      <c r="CA44" s="73"/>
      <c r="CB44" s="33"/>
      <c r="CC44" s="63"/>
      <c r="CD44" s="64"/>
      <c r="CE44" s="47"/>
      <c r="CF44" s="38"/>
      <c r="CG44" s="39" t="s">
        <v>494</v>
      </c>
      <c r="CH44" s="72" t="s">
        <v>1034</v>
      </c>
      <c r="CI44" s="33"/>
      <c r="CJ44" s="33"/>
      <c r="CK44" s="73"/>
      <c r="CL44" s="33"/>
      <c r="CM44" s="73"/>
      <c r="CN44" s="33"/>
      <c r="CO44" s="33"/>
      <c r="CP44" s="73"/>
      <c r="CR44"/>
      <c r="CU44"/>
    </row>
    <row r="45" spans="18:99" ht="17.25">
      <c r="R45" s="33"/>
      <c r="S45" s="33"/>
      <c r="T45" s="33"/>
      <c r="U45" s="33"/>
      <c r="V45" s="33"/>
      <c r="W45" s="33"/>
      <c r="Y45" s="33"/>
      <c r="Z45" s="33"/>
      <c r="AA45" s="33"/>
      <c r="AB45" s="33"/>
      <c r="AC45" s="33"/>
      <c r="AD45" s="33"/>
      <c r="AF45" s="36"/>
      <c r="AG45" s="36"/>
      <c r="AH45" s="36"/>
      <c r="AI45" s="25" t="s">
        <v>883</v>
      </c>
      <c r="AJ45" s="35" t="s">
        <v>31</v>
      </c>
      <c r="AK45" s="56" t="s">
        <v>444</v>
      </c>
      <c r="AL45" s="33"/>
      <c r="AM45" s="33"/>
      <c r="AN45" s="33"/>
      <c r="AO45" s="33"/>
      <c r="AP45" s="33"/>
      <c r="AQ45" s="33"/>
      <c r="AR45" s="33"/>
      <c r="AS45" s="33"/>
      <c r="AT45" s="36"/>
      <c r="AU45" s="36"/>
      <c r="AV45" s="36"/>
      <c r="AW45" s="34" t="s">
        <v>874</v>
      </c>
      <c r="AX45" s="35" t="s">
        <v>78</v>
      </c>
      <c r="AY45" s="59" t="s">
        <v>984</v>
      </c>
      <c r="AZ45" s="33"/>
      <c r="BA45" s="36"/>
      <c r="BB45" s="36"/>
      <c r="BC45" s="36"/>
      <c r="BD45" s="34" t="s">
        <v>815</v>
      </c>
      <c r="BE45" s="35" t="s">
        <v>711</v>
      </c>
      <c r="BF45" s="59" t="s">
        <v>994</v>
      </c>
      <c r="BG45" s="33"/>
      <c r="BH45" s="33"/>
      <c r="BI45" s="33"/>
      <c r="BJ45" s="73"/>
      <c r="BK45" s="33"/>
      <c r="BL45" s="33"/>
      <c r="BM45" s="73"/>
      <c r="BN45" s="33"/>
      <c r="BO45" s="33"/>
      <c r="BP45" s="33"/>
      <c r="BQ45" s="73"/>
      <c r="BR45" s="33"/>
      <c r="BS45" s="33"/>
      <c r="BT45" s="73"/>
      <c r="BU45" s="33"/>
      <c r="BV45" s="33"/>
      <c r="BW45" s="33"/>
      <c r="BX45" s="73"/>
      <c r="BY45" s="33"/>
      <c r="BZ45" s="33"/>
      <c r="CA45" s="73"/>
      <c r="CB45" s="33"/>
      <c r="CC45" s="63"/>
      <c r="CD45" s="64"/>
      <c r="CE45" s="47"/>
      <c r="CF45" s="38" t="s">
        <v>522</v>
      </c>
      <c r="CG45" s="39" t="s">
        <v>495</v>
      </c>
      <c r="CH45" s="72" t="s">
        <v>1034</v>
      </c>
      <c r="CI45" s="33"/>
      <c r="CJ45" s="33"/>
      <c r="CK45" s="73"/>
      <c r="CL45" s="33"/>
      <c r="CM45" s="33"/>
      <c r="CN45" s="73"/>
      <c r="CO45" s="33"/>
      <c r="CP45" s="73"/>
      <c r="CR45"/>
      <c r="CU45"/>
    </row>
    <row r="46" spans="18:99" ht="17.25">
      <c r="R46" s="33"/>
      <c r="S46" s="33"/>
      <c r="T46" s="33"/>
      <c r="U46" s="33"/>
      <c r="V46" s="33"/>
      <c r="W46" s="33"/>
      <c r="Y46" s="33"/>
      <c r="Z46" s="33"/>
      <c r="AA46" s="33"/>
      <c r="AB46" s="33"/>
      <c r="AC46" s="33"/>
      <c r="AD46" s="33"/>
      <c r="AF46" s="36"/>
      <c r="AG46" s="36"/>
      <c r="AH46" s="36"/>
      <c r="AI46" s="34" t="s">
        <v>879</v>
      </c>
      <c r="AJ46" s="35" t="s">
        <v>650</v>
      </c>
      <c r="AK46" s="56" t="s">
        <v>982</v>
      </c>
      <c r="AL46" s="33"/>
      <c r="AM46" s="33"/>
      <c r="AN46" s="33"/>
      <c r="AO46" s="33"/>
      <c r="AP46" s="33"/>
      <c r="AQ46" s="33"/>
      <c r="AR46" s="33"/>
      <c r="AS46" s="33"/>
      <c r="AT46" s="36"/>
      <c r="AU46" s="36"/>
      <c r="AV46" s="36"/>
      <c r="AW46" s="34" t="s">
        <v>841</v>
      </c>
      <c r="AX46" s="35" t="s">
        <v>683</v>
      </c>
      <c r="AY46" s="59" t="s">
        <v>984</v>
      </c>
      <c r="AZ46" s="33"/>
      <c r="BA46" s="36"/>
      <c r="BB46" s="36"/>
      <c r="BC46" s="36"/>
      <c r="BD46" s="34" t="s">
        <v>816</v>
      </c>
      <c r="BE46" s="35" t="s">
        <v>712</v>
      </c>
      <c r="BF46" s="59" t="s">
        <v>628</v>
      </c>
      <c r="BG46" s="33"/>
      <c r="BH46" s="33"/>
      <c r="BI46" s="33"/>
      <c r="BJ46" s="73"/>
      <c r="BK46" s="33"/>
      <c r="BL46" s="33"/>
      <c r="BM46" s="73"/>
      <c r="BN46" s="33"/>
      <c r="BO46" s="33"/>
      <c r="BP46" s="33"/>
      <c r="BQ46" s="73"/>
      <c r="BR46" s="33"/>
      <c r="BS46" s="33"/>
      <c r="BT46" s="73"/>
      <c r="BU46" s="33"/>
      <c r="BV46" s="33"/>
      <c r="BW46" s="33"/>
      <c r="BX46" s="73"/>
      <c r="BY46" s="33"/>
      <c r="BZ46" s="33"/>
      <c r="CA46" s="73"/>
      <c r="CB46" s="33"/>
      <c r="CC46" s="63"/>
      <c r="CD46" s="64"/>
      <c r="CE46" s="47"/>
      <c r="CF46" s="38"/>
      <c r="CG46" s="39" t="s">
        <v>496</v>
      </c>
      <c r="CH46" s="72" t="s">
        <v>1034</v>
      </c>
      <c r="CI46" s="33"/>
      <c r="CJ46" s="33"/>
      <c r="CK46" s="73"/>
      <c r="CL46" s="33"/>
      <c r="CM46" s="33"/>
      <c r="CN46" s="73"/>
      <c r="CO46" s="33"/>
      <c r="CP46" s="33"/>
      <c r="CQ46" s="33"/>
      <c r="CR46" s="73"/>
      <c r="CS46" s="33"/>
      <c r="CT46" s="33"/>
      <c r="CU46" s="73"/>
    </row>
    <row r="47" spans="18:99" ht="17.25">
      <c r="R47" s="33"/>
      <c r="S47" s="33"/>
      <c r="T47" s="33"/>
      <c r="U47" s="33"/>
      <c r="V47" s="33"/>
      <c r="W47" s="33"/>
      <c r="Y47" s="33"/>
      <c r="Z47" s="33"/>
      <c r="AA47" s="33"/>
      <c r="AB47" s="33"/>
      <c r="AC47" s="33"/>
      <c r="AD47" s="33"/>
      <c r="AF47" s="36"/>
      <c r="AG47" s="36"/>
      <c r="AH47" s="36"/>
      <c r="AI47" s="34" t="s">
        <v>928</v>
      </c>
      <c r="AJ47" s="35" t="s">
        <v>55</v>
      </c>
      <c r="AK47" s="56" t="s">
        <v>972</v>
      </c>
      <c r="AL47" s="33"/>
      <c r="AM47" s="33"/>
      <c r="AN47" s="33"/>
      <c r="AO47" s="33"/>
      <c r="AP47" s="33"/>
      <c r="AQ47" s="33"/>
      <c r="AR47" s="33"/>
      <c r="AS47" s="33"/>
      <c r="AT47" s="36"/>
      <c r="AU47" s="36"/>
      <c r="AV47" s="36"/>
      <c r="AW47" s="34" t="s">
        <v>875</v>
      </c>
      <c r="AX47" s="35" t="s">
        <v>63</v>
      </c>
      <c r="AY47" s="59" t="s">
        <v>628</v>
      </c>
      <c r="AZ47" s="33"/>
      <c r="BA47" s="36"/>
      <c r="BB47" s="36"/>
      <c r="BC47" s="36"/>
      <c r="BD47" s="34" t="s">
        <v>817</v>
      </c>
      <c r="BE47" s="35" t="s">
        <v>714</v>
      </c>
      <c r="BF47" s="59" t="s">
        <v>994</v>
      </c>
      <c r="BG47" s="33"/>
      <c r="BH47" s="43"/>
      <c r="BI47" s="43"/>
      <c r="BJ47" s="80"/>
      <c r="BK47" s="43"/>
      <c r="BL47" s="43"/>
      <c r="BM47" s="80"/>
      <c r="BN47" s="43"/>
      <c r="BO47" s="43"/>
      <c r="BP47" s="43"/>
      <c r="BQ47" s="73"/>
      <c r="BR47" s="33"/>
      <c r="BS47" s="33"/>
      <c r="BT47" s="73"/>
      <c r="BU47" s="33"/>
      <c r="BV47" s="33"/>
      <c r="BW47" s="33"/>
      <c r="BX47" s="73"/>
      <c r="BY47" s="33"/>
      <c r="BZ47" s="33"/>
      <c r="CA47" s="73"/>
      <c r="CB47" s="33"/>
      <c r="CC47" s="63"/>
      <c r="CD47" s="64"/>
      <c r="CE47" s="47"/>
      <c r="CF47" s="38" t="s">
        <v>523</v>
      </c>
      <c r="CG47" s="39" t="s">
        <v>497</v>
      </c>
      <c r="CH47" s="72" t="s">
        <v>1035</v>
      </c>
      <c r="CI47" s="33"/>
      <c r="CJ47" s="33"/>
      <c r="CK47" s="73"/>
      <c r="CL47" s="33"/>
      <c r="CM47" s="33"/>
      <c r="CN47" s="73"/>
      <c r="CO47" s="33"/>
      <c r="CP47" s="33"/>
      <c r="CQ47" s="33"/>
      <c r="CR47" s="73"/>
      <c r="CS47" s="33"/>
      <c r="CT47" s="33"/>
      <c r="CU47" s="73"/>
    </row>
    <row r="48" spans="18:99" ht="17.25">
      <c r="Y48" s="33"/>
      <c r="Z48" s="33"/>
      <c r="AA48" s="33"/>
      <c r="AB48" s="33"/>
      <c r="AC48" s="33"/>
      <c r="AD48" s="33"/>
      <c r="AF48" s="36"/>
      <c r="AG48" s="36"/>
      <c r="AH48" s="36"/>
      <c r="AI48" s="34" t="s">
        <v>929</v>
      </c>
      <c r="AJ48" s="35" t="s">
        <v>14</v>
      </c>
      <c r="AK48" s="56" t="s">
        <v>985</v>
      </c>
      <c r="AL48" s="33"/>
      <c r="AM48" s="33"/>
      <c r="AN48" s="33"/>
      <c r="AO48" s="33"/>
      <c r="AP48" s="33"/>
      <c r="AQ48" s="33"/>
      <c r="AR48" s="33"/>
      <c r="AS48" s="33"/>
      <c r="AT48" s="36"/>
      <c r="AU48" s="36"/>
      <c r="AV48" s="36"/>
      <c r="AW48" s="34" t="s">
        <v>876</v>
      </c>
      <c r="AX48" s="35" t="s">
        <v>684</v>
      </c>
      <c r="AY48" s="59" t="s">
        <v>984</v>
      </c>
      <c r="AZ48" s="33"/>
      <c r="BA48" s="36"/>
      <c r="BB48" s="36"/>
      <c r="BC48" s="36"/>
      <c r="BD48" s="34" t="s">
        <v>818</v>
      </c>
      <c r="BE48" s="35" t="s">
        <v>716</v>
      </c>
      <c r="BF48" s="59" t="s">
        <v>628</v>
      </c>
      <c r="BG48" s="33"/>
      <c r="BH48" s="43"/>
      <c r="BI48" s="43"/>
      <c r="BJ48" s="80"/>
      <c r="BK48" s="43"/>
      <c r="BL48" s="43"/>
      <c r="BM48" s="80"/>
      <c r="BN48" s="43"/>
      <c r="BO48" s="43"/>
      <c r="BP48" s="43"/>
      <c r="BQ48" s="73"/>
      <c r="BR48" s="33"/>
      <c r="BS48" s="33"/>
      <c r="BT48" s="73"/>
      <c r="BU48" s="33"/>
      <c r="BV48" s="33"/>
      <c r="BW48" s="33"/>
      <c r="BX48" s="73"/>
      <c r="BY48" s="33"/>
      <c r="BZ48" s="33"/>
      <c r="CA48" s="73"/>
      <c r="CB48" s="33"/>
      <c r="CC48" s="63"/>
      <c r="CD48" s="64"/>
      <c r="CE48" s="47"/>
      <c r="CF48" s="38" t="s">
        <v>233</v>
      </c>
      <c r="CG48" s="39" t="s">
        <v>498</v>
      </c>
      <c r="CH48" s="72" t="s">
        <v>1034</v>
      </c>
      <c r="CI48" s="33"/>
      <c r="CJ48" s="33"/>
      <c r="CK48" s="73"/>
      <c r="CL48" s="33"/>
      <c r="CM48" s="33"/>
      <c r="CN48" s="73"/>
      <c r="CO48" s="33"/>
      <c r="CP48" s="33"/>
      <c r="CQ48" s="33"/>
      <c r="CR48" s="73"/>
      <c r="CS48" s="33"/>
      <c r="CT48" s="33"/>
      <c r="CU48" s="73"/>
    </row>
    <row r="49" spans="25:99" ht="17.25">
      <c r="Y49" s="33"/>
      <c r="Z49" s="33"/>
      <c r="AA49" s="33"/>
      <c r="AB49" s="33"/>
      <c r="AC49" s="33"/>
      <c r="AD49" s="33"/>
      <c r="AF49" s="36"/>
      <c r="AG49" s="36"/>
      <c r="AH49" s="36"/>
      <c r="AI49" s="34" t="s">
        <v>930</v>
      </c>
      <c r="AJ49" s="35" t="s">
        <v>652</v>
      </c>
      <c r="AK49" s="56" t="s">
        <v>972</v>
      </c>
      <c r="AL49" s="33"/>
      <c r="AM49" s="33"/>
      <c r="AN49" s="33"/>
      <c r="AO49" s="33"/>
      <c r="AP49" s="33"/>
      <c r="AQ49" s="33"/>
      <c r="AR49" s="33"/>
      <c r="AS49" s="33"/>
      <c r="AT49" s="36"/>
      <c r="AU49" s="36"/>
      <c r="AV49" s="36"/>
      <c r="AW49" s="34" t="s">
        <v>877</v>
      </c>
      <c r="AX49" s="35" t="s">
        <v>685</v>
      </c>
      <c r="AY49" s="59" t="s">
        <v>993</v>
      </c>
      <c r="AZ49" s="33"/>
      <c r="BA49" s="36"/>
      <c r="BB49" s="36"/>
      <c r="BC49" s="36"/>
      <c r="BD49" s="34" t="s">
        <v>819</v>
      </c>
      <c r="BE49" s="35" t="s">
        <v>717</v>
      </c>
      <c r="BF49" s="59" t="s">
        <v>443</v>
      </c>
      <c r="BG49" s="33"/>
      <c r="BH49" s="43"/>
      <c r="BI49" s="43"/>
      <c r="BJ49" s="80"/>
      <c r="BK49" s="43"/>
      <c r="BL49" s="43"/>
      <c r="BM49" s="80"/>
      <c r="BN49" s="43"/>
      <c r="BO49" s="43"/>
      <c r="BP49" s="43"/>
      <c r="BQ49" s="73"/>
      <c r="BR49" s="33"/>
      <c r="BS49" s="33"/>
      <c r="BT49" s="73"/>
      <c r="BU49" s="33"/>
      <c r="BV49" s="33"/>
      <c r="BW49" s="33"/>
      <c r="BX49" s="73"/>
      <c r="BY49" s="33"/>
      <c r="BZ49" s="33"/>
      <c r="CA49" s="73"/>
      <c r="CB49" s="33"/>
      <c r="CC49" s="63"/>
      <c r="CD49" s="64"/>
      <c r="CE49" s="47"/>
      <c r="CF49" s="38" t="s">
        <v>524</v>
      </c>
      <c r="CG49" s="39" t="s">
        <v>499</v>
      </c>
      <c r="CH49" s="72" t="s">
        <v>1033</v>
      </c>
      <c r="CI49" s="33"/>
      <c r="CJ49" s="33"/>
      <c r="CK49" s="73"/>
      <c r="CL49" s="33"/>
      <c r="CM49" s="33"/>
      <c r="CN49" s="73"/>
      <c r="CO49" s="33"/>
      <c r="CP49" s="33"/>
      <c r="CQ49" s="33"/>
      <c r="CR49" s="73"/>
      <c r="CS49" s="33"/>
      <c r="CT49" s="33"/>
      <c r="CU49" s="73"/>
    </row>
    <row r="50" spans="25:99" ht="17.25">
      <c r="Y50" s="33"/>
      <c r="Z50" s="33"/>
      <c r="AA50" s="33"/>
      <c r="AB50" s="33"/>
      <c r="AC50" s="33"/>
      <c r="AD50" s="33"/>
      <c r="AF50" s="36"/>
      <c r="AG50" s="36"/>
      <c r="AH50" s="36"/>
      <c r="AI50" s="34" t="s">
        <v>888</v>
      </c>
      <c r="AJ50" s="24" t="s">
        <v>647</v>
      </c>
      <c r="AK50" s="59" t="s">
        <v>116</v>
      </c>
      <c r="AL50" s="33"/>
      <c r="AM50" s="33"/>
      <c r="AN50" s="33"/>
      <c r="AO50" s="33"/>
      <c r="AP50" s="33"/>
      <c r="AQ50" s="33"/>
      <c r="AR50" s="33"/>
      <c r="AS50" s="33"/>
      <c r="AT50" s="36"/>
      <c r="AU50" s="36"/>
      <c r="AV50" s="36"/>
      <c r="AW50" s="25" t="s">
        <v>878</v>
      </c>
      <c r="AX50" s="35" t="s">
        <v>88</v>
      </c>
      <c r="AY50" s="54" t="s">
        <v>442</v>
      </c>
      <c r="AZ50" s="33"/>
      <c r="BA50" s="36"/>
      <c r="BB50" s="36"/>
      <c r="BC50" s="36"/>
      <c r="BD50" s="34" t="s">
        <v>820</v>
      </c>
      <c r="BE50" s="35" t="s">
        <v>107</v>
      </c>
      <c r="BF50" s="59" t="s">
        <v>6</v>
      </c>
      <c r="BG50" s="33"/>
      <c r="BH50" s="43"/>
      <c r="BI50" s="43"/>
      <c r="BJ50" s="80"/>
      <c r="BK50" s="43"/>
      <c r="BL50" s="43"/>
      <c r="BM50" s="80"/>
      <c r="BN50" s="43"/>
      <c r="BO50" s="43"/>
      <c r="BP50" s="43"/>
      <c r="BQ50" s="73"/>
      <c r="BR50" s="33"/>
      <c r="BS50" s="33"/>
      <c r="BT50" s="73"/>
      <c r="BU50" s="33"/>
      <c r="BV50" s="33"/>
      <c r="BW50" s="33"/>
      <c r="BX50" s="73"/>
      <c r="BY50" s="33"/>
      <c r="BZ50" s="33"/>
      <c r="CA50" s="73"/>
      <c r="CB50" s="33"/>
      <c r="CC50" s="63"/>
      <c r="CD50" s="64"/>
      <c r="CE50" s="47"/>
      <c r="CF50" s="38"/>
      <c r="CG50" s="39" t="s">
        <v>500</v>
      </c>
      <c r="CH50" s="72" t="s">
        <v>1034</v>
      </c>
      <c r="CI50" s="33"/>
      <c r="CJ50" s="33"/>
      <c r="CK50" s="73"/>
      <c r="CL50" s="33"/>
      <c r="CM50" s="33"/>
      <c r="CN50" s="73"/>
      <c r="CO50" s="33"/>
      <c r="CP50" s="33"/>
      <c r="CQ50" s="33"/>
      <c r="CR50" s="73"/>
      <c r="CS50" s="33"/>
      <c r="CT50" s="33"/>
      <c r="CU50" s="73"/>
    </row>
    <row r="51" spans="25:99" ht="17.25">
      <c r="Y51" s="33"/>
      <c r="Z51" s="33"/>
      <c r="AA51" s="33"/>
      <c r="AB51" s="33"/>
      <c r="AC51" s="33"/>
      <c r="AD51" s="33"/>
      <c r="AF51" s="36"/>
      <c r="AG51" s="36"/>
      <c r="AH51" s="36"/>
      <c r="AI51" s="34" t="s">
        <v>931</v>
      </c>
      <c r="AJ51" s="35" t="s">
        <v>167</v>
      </c>
      <c r="AK51" s="54" t="s">
        <v>442</v>
      </c>
      <c r="AL51" s="33"/>
      <c r="AM51" s="33"/>
      <c r="AN51" s="33"/>
      <c r="AO51" s="33"/>
      <c r="AP51" s="33"/>
      <c r="AQ51" s="33"/>
      <c r="AR51" s="33"/>
      <c r="AS51" s="33"/>
      <c r="AT51" s="36"/>
      <c r="AU51" s="36"/>
      <c r="AV51" s="36"/>
      <c r="AW51" s="34" t="s">
        <v>879</v>
      </c>
      <c r="AX51" s="35" t="s">
        <v>674</v>
      </c>
      <c r="AY51" s="54" t="s">
        <v>976</v>
      </c>
      <c r="AZ51" s="33"/>
      <c r="BA51" s="36"/>
      <c r="BB51" s="36"/>
      <c r="BC51" s="36"/>
      <c r="BD51" s="34" t="s">
        <v>821</v>
      </c>
      <c r="BE51" s="35" t="s">
        <v>105</v>
      </c>
      <c r="BF51" s="59" t="s">
        <v>6</v>
      </c>
      <c r="BG51" s="33"/>
      <c r="BH51" s="43"/>
      <c r="BI51" s="43"/>
      <c r="BJ51" s="80"/>
      <c r="BK51" s="43"/>
      <c r="BL51" s="43"/>
      <c r="BM51" s="80"/>
      <c r="BN51" s="43"/>
      <c r="BO51" s="43"/>
      <c r="BP51" s="43"/>
      <c r="BQ51" s="73"/>
      <c r="BR51" s="33"/>
      <c r="BS51" s="33"/>
      <c r="BT51" s="73"/>
      <c r="BU51" s="33"/>
      <c r="BV51" s="33"/>
      <c r="BW51" s="33"/>
      <c r="BX51" s="73"/>
      <c r="BY51" s="33"/>
      <c r="BZ51" s="33"/>
      <c r="CA51" s="73"/>
      <c r="CB51" s="33"/>
      <c r="CC51" s="63"/>
      <c r="CD51" s="64"/>
      <c r="CE51" s="47"/>
      <c r="CF51" s="38"/>
      <c r="CG51" s="39" t="s">
        <v>501</v>
      </c>
      <c r="CH51" s="72" t="s">
        <v>1033</v>
      </c>
      <c r="CI51" s="33"/>
      <c r="CJ51" s="33"/>
      <c r="CK51" s="73"/>
      <c r="CL51" s="33"/>
      <c r="CM51" s="33"/>
      <c r="CN51" s="73"/>
      <c r="CO51" s="33"/>
      <c r="CP51" s="33"/>
      <c r="CQ51" s="33"/>
      <c r="CR51" s="73"/>
      <c r="CS51" s="33"/>
      <c r="CT51" s="33"/>
      <c r="CU51" s="73"/>
    </row>
    <row r="52" spans="25:99" ht="17.25">
      <c r="Y52" s="33"/>
      <c r="Z52" s="33"/>
      <c r="AA52" s="33"/>
      <c r="AB52" s="33"/>
      <c r="AC52" s="33"/>
      <c r="AD52" s="33"/>
      <c r="AF52" s="33"/>
      <c r="AG52" s="33"/>
      <c r="AH52" s="33"/>
      <c r="AI52" s="242"/>
      <c r="AJ52" s="242"/>
      <c r="AK52" s="242"/>
      <c r="AL52" s="33"/>
      <c r="AM52" s="33"/>
      <c r="AN52" s="33"/>
      <c r="AO52" s="33"/>
      <c r="AP52" s="33"/>
      <c r="AQ52" s="33"/>
      <c r="AR52" s="33"/>
      <c r="AS52" s="33"/>
      <c r="AT52" s="36"/>
      <c r="AU52" s="36"/>
      <c r="AV52" s="36"/>
      <c r="AW52" s="34" t="s">
        <v>880</v>
      </c>
      <c r="AX52" s="35" t="s">
        <v>53</v>
      </c>
      <c r="AY52" s="54" t="s">
        <v>1026</v>
      </c>
      <c r="AZ52" s="33"/>
      <c r="BA52" s="36"/>
      <c r="BB52" s="36"/>
      <c r="BC52" s="36"/>
      <c r="BD52" s="34" t="s">
        <v>812</v>
      </c>
      <c r="BE52" s="35" t="s">
        <v>720</v>
      </c>
      <c r="BF52" s="59" t="s">
        <v>6</v>
      </c>
      <c r="BG52" s="33"/>
      <c r="BH52" s="43"/>
      <c r="BI52" s="43"/>
      <c r="BJ52" s="80"/>
      <c r="BK52" s="43"/>
      <c r="BL52" s="43"/>
      <c r="BM52" s="80"/>
      <c r="BN52" s="43"/>
      <c r="BO52" s="43"/>
      <c r="BP52" s="43"/>
      <c r="BQ52" s="73"/>
      <c r="BR52" s="33"/>
      <c r="BS52" s="33"/>
      <c r="BT52" s="73"/>
      <c r="BU52" s="33"/>
      <c r="BV52" s="33"/>
      <c r="BW52" s="33"/>
      <c r="BX52" s="73"/>
      <c r="BY52" s="33"/>
      <c r="BZ52" s="33"/>
      <c r="CA52" s="73"/>
      <c r="CB52" s="33"/>
      <c r="CC52" s="63"/>
      <c r="CD52" s="64"/>
      <c r="CE52" s="47"/>
      <c r="CF52" s="38" t="s">
        <v>525</v>
      </c>
      <c r="CG52" s="39" t="s">
        <v>502</v>
      </c>
      <c r="CH52" s="72" t="s">
        <v>1034</v>
      </c>
      <c r="CI52" s="33"/>
      <c r="CJ52" s="33"/>
      <c r="CK52" s="73"/>
      <c r="CL52" s="33"/>
      <c r="CM52" s="33"/>
      <c r="CN52" s="73"/>
      <c r="CO52" s="33"/>
      <c r="CP52" s="33"/>
      <c r="CQ52" s="33"/>
      <c r="CR52" s="73"/>
      <c r="CS52" s="33"/>
      <c r="CT52" s="33"/>
      <c r="CU52" s="73"/>
    </row>
    <row r="53" spans="25:99" ht="17.25">
      <c r="Y53" s="33"/>
      <c r="Z53" s="33"/>
      <c r="AA53" s="33"/>
      <c r="AB53" s="33"/>
      <c r="AC53" s="33"/>
      <c r="AD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6"/>
      <c r="AU53" s="36"/>
      <c r="AV53" s="36"/>
      <c r="AW53" s="34" t="s">
        <v>845</v>
      </c>
      <c r="AX53" s="35" t="s">
        <v>185</v>
      </c>
      <c r="AY53" s="54" t="s">
        <v>8</v>
      </c>
      <c r="AZ53" s="33"/>
      <c r="BA53" s="36"/>
      <c r="BB53" s="36"/>
      <c r="BC53" s="36"/>
      <c r="BD53" s="34" t="s">
        <v>822</v>
      </c>
      <c r="BE53" s="35" t="s">
        <v>721</v>
      </c>
      <c r="BF53" s="59" t="s">
        <v>1015</v>
      </c>
      <c r="BG53" s="33"/>
      <c r="BH53" s="43"/>
      <c r="BI53" s="43"/>
      <c r="BJ53" s="80"/>
      <c r="BK53" s="43"/>
      <c r="BL53" s="43"/>
      <c r="BM53" s="80"/>
      <c r="BN53" s="43"/>
      <c r="BO53" s="43"/>
      <c r="BP53" s="43"/>
      <c r="BQ53" s="73"/>
      <c r="BR53" s="33"/>
      <c r="BS53" s="33"/>
      <c r="BT53" s="73"/>
      <c r="BU53" s="33"/>
      <c r="BV53" s="33"/>
      <c r="BW53" s="33"/>
      <c r="BX53" s="73"/>
      <c r="BY53" s="33"/>
      <c r="BZ53" s="33"/>
      <c r="CA53" s="73"/>
      <c r="CB53" s="33"/>
      <c r="CC53" s="63"/>
      <c r="CD53" s="64"/>
      <c r="CE53" s="47"/>
      <c r="CF53" s="38"/>
      <c r="CG53" s="39" t="s">
        <v>503</v>
      </c>
      <c r="CH53" s="72" t="s">
        <v>1033</v>
      </c>
      <c r="CI53" s="33"/>
      <c r="CJ53" s="33"/>
      <c r="CK53" s="73"/>
      <c r="CL53" s="33"/>
      <c r="CM53" s="33"/>
      <c r="CN53" s="73"/>
      <c r="CO53" s="33"/>
      <c r="CP53" s="33"/>
      <c r="CQ53" s="33"/>
      <c r="CR53" s="73"/>
      <c r="CS53" s="33"/>
      <c r="CT53" s="33"/>
      <c r="CU53" s="73"/>
    </row>
    <row r="54" spans="25:99" ht="17.25">
      <c r="Y54" s="33"/>
      <c r="Z54" s="33"/>
      <c r="AA54" s="33"/>
      <c r="AB54" s="33"/>
      <c r="AC54" s="33"/>
      <c r="AD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6"/>
      <c r="AU54" s="36"/>
      <c r="AV54" s="36"/>
      <c r="AW54" s="34" t="s">
        <v>881</v>
      </c>
      <c r="AX54" s="24" t="s">
        <v>126</v>
      </c>
      <c r="AY54" s="54" t="s">
        <v>8</v>
      </c>
      <c r="AZ54" s="33"/>
      <c r="BA54" s="36"/>
      <c r="BB54" s="36"/>
      <c r="BC54" s="36"/>
      <c r="BD54" s="34" t="s">
        <v>822</v>
      </c>
      <c r="BE54" s="35" t="s">
        <v>722</v>
      </c>
      <c r="BF54" s="59" t="s">
        <v>443</v>
      </c>
      <c r="BG54" s="33"/>
      <c r="BH54" s="43"/>
      <c r="BI54" s="43"/>
      <c r="BJ54" s="80"/>
      <c r="BK54" s="43"/>
      <c r="BL54" s="43"/>
      <c r="BM54" s="80"/>
      <c r="BN54" s="43"/>
      <c r="BO54" s="43"/>
      <c r="BP54" s="43"/>
      <c r="BQ54" s="73"/>
      <c r="BR54" s="33"/>
      <c r="BS54" s="33"/>
      <c r="BT54" s="73"/>
      <c r="BU54" s="33"/>
      <c r="BV54" s="33"/>
      <c r="BW54" s="33"/>
      <c r="BX54" s="73"/>
      <c r="BY54" s="33"/>
      <c r="BZ54" s="33"/>
      <c r="CA54" s="73"/>
      <c r="CB54" s="33"/>
      <c r="CC54" s="63"/>
      <c r="CD54" s="64"/>
      <c r="CE54" s="47"/>
      <c r="CF54" s="38"/>
      <c r="CG54" s="39" t="s">
        <v>504</v>
      </c>
      <c r="CH54" s="72" t="s">
        <v>1035</v>
      </c>
      <c r="CI54" s="33"/>
      <c r="CJ54" s="33"/>
      <c r="CK54" s="73"/>
      <c r="CL54" s="33"/>
      <c r="CM54" s="33"/>
      <c r="CN54" s="73"/>
      <c r="CO54" s="33"/>
      <c r="CP54" s="33"/>
      <c r="CQ54" s="33"/>
      <c r="CR54" s="73"/>
      <c r="CS54" s="33"/>
      <c r="CT54" s="33"/>
      <c r="CU54" s="73"/>
    </row>
    <row r="55" spans="25:99" ht="17.25">
      <c r="Y55" s="33"/>
      <c r="Z55" s="33"/>
      <c r="AA55" s="33"/>
      <c r="AB55" s="33"/>
      <c r="AC55" s="33"/>
      <c r="AD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6"/>
      <c r="AU55" s="36"/>
      <c r="AV55" s="36"/>
      <c r="AW55" s="34" t="s">
        <v>882</v>
      </c>
      <c r="AX55" s="67" t="s">
        <v>67</v>
      </c>
      <c r="AY55" s="56" t="s">
        <v>995</v>
      </c>
      <c r="AZ55" s="33"/>
      <c r="BA55" s="36"/>
      <c r="BB55" s="36"/>
      <c r="BC55" s="36"/>
      <c r="BD55" s="34" t="s">
        <v>823</v>
      </c>
      <c r="BE55" s="35" t="s">
        <v>15</v>
      </c>
      <c r="BF55" s="59" t="s">
        <v>6</v>
      </c>
      <c r="BG55" s="33"/>
      <c r="BH55" s="43"/>
      <c r="BI55" s="43"/>
      <c r="BJ55" s="80"/>
      <c r="BK55" s="43"/>
      <c r="BL55" s="43"/>
      <c r="BM55" s="80"/>
      <c r="BN55" s="43"/>
      <c r="BO55" s="43"/>
      <c r="BP55" s="43"/>
      <c r="BQ55" s="73"/>
      <c r="BR55" s="33"/>
      <c r="BS55" s="33"/>
      <c r="BT55" s="73"/>
      <c r="BU55" s="33"/>
      <c r="BV55" s="33"/>
      <c r="BW55" s="33"/>
      <c r="BX55" s="73"/>
      <c r="BY55" s="33"/>
      <c r="BZ55" s="33"/>
      <c r="CA55" s="73"/>
      <c r="CB55" s="33"/>
      <c r="CC55" s="63"/>
      <c r="CD55" s="64"/>
      <c r="CE55" s="47"/>
      <c r="CF55" s="38"/>
      <c r="CG55" s="39" t="s">
        <v>1038</v>
      </c>
      <c r="CH55" s="72" t="s">
        <v>1039</v>
      </c>
      <c r="CI55" s="33"/>
      <c r="CJ55" s="33"/>
      <c r="CK55" s="73"/>
      <c r="CL55" s="33"/>
      <c r="CM55" s="33"/>
      <c r="CN55" s="73"/>
      <c r="CO55" s="33"/>
      <c r="CP55" s="33"/>
      <c r="CQ55" s="33"/>
      <c r="CR55" s="73"/>
      <c r="CS55" s="33"/>
      <c r="CT55" s="33"/>
      <c r="CU55" s="73"/>
    </row>
    <row r="56" spans="25:99" ht="17.25">
      <c r="Y56" s="33"/>
      <c r="Z56" s="33"/>
      <c r="AA56" s="33"/>
      <c r="AB56" s="33"/>
      <c r="AC56" s="33"/>
      <c r="AD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6"/>
      <c r="AU56" s="36"/>
      <c r="AV56" s="36"/>
      <c r="AW56" s="34" t="s">
        <v>883</v>
      </c>
      <c r="AX56" s="35" t="s">
        <v>670</v>
      </c>
      <c r="AY56" s="56" t="s">
        <v>972</v>
      </c>
      <c r="AZ56" s="33"/>
      <c r="BA56" s="36"/>
      <c r="BB56" s="36"/>
      <c r="BC56" s="36"/>
      <c r="BD56" s="34" t="s">
        <v>824</v>
      </c>
      <c r="BE56" s="24" t="s">
        <v>194</v>
      </c>
      <c r="BF56" s="54" t="s">
        <v>976</v>
      </c>
      <c r="BG56" s="33"/>
      <c r="BH56" s="43"/>
      <c r="BI56" s="43"/>
      <c r="BJ56" s="80"/>
      <c r="BK56" s="43"/>
      <c r="BL56" s="43"/>
      <c r="BM56" s="80"/>
      <c r="BN56" s="43"/>
      <c r="BO56" s="43"/>
      <c r="BP56" s="43"/>
      <c r="BQ56" s="73"/>
      <c r="BR56" s="33"/>
      <c r="BS56" s="33"/>
      <c r="BT56" s="73"/>
      <c r="BU56" s="33"/>
      <c r="BV56" s="33"/>
      <c r="BW56" s="33"/>
      <c r="BX56" s="73"/>
      <c r="BY56" s="33"/>
      <c r="BZ56" s="33"/>
      <c r="CA56" s="73"/>
      <c r="CB56" s="33"/>
      <c r="CC56" s="63"/>
      <c r="CD56" s="64"/>
      <c r="CE56" s="47"/>
      <c r="CF56" s="38" t="s">
        <v>526</v>
      </c>
      <c r="CG56" s="39" t="s">
        <v>505</v>
      </c>
      <c r="CH56" s="72" t="s">
        <v>1033</v>
      </c>
      <c r="CI56" s="33"/>
      <c r="CJ56" s="33"/>
      <c r="CK56" s="73"/>
      <c r="CL56" s="33"/>
      <c r="CM56" s="33"/>
      <c r="CN56" s="73"/>
      <c r="CO56" s="33"/>
      <c r="CP56" s="33"/>
      <c r="CQ56" s="33"/>
      <c r="CR56" s="73"/>
      <c r="CS56" s="33"/>
      <c r="CT56" s="33"/>
      <c r="CU56" s="73"/>
    </row>
    <row r="57" spans="25:99" ht="17.25">
      <c r="Y57" s="33"/>
      <c r="Z57" s="33"/>
      <c r="AA57" s="33"/>
      <c r="AB57" s="33"/>
      <c r="AC57" s="33"/>
      <c r="AD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6"/>
      <c r="AU57" s="36"/>
      <c r="AV57" s="36"/>
      <c r="AW57" s="34" t="s">
        <v>884</v>
      </c>
      <c r="AX57" s="35" t="s">
        <v>47</v>
      </c>
      <c r="AY57" s="56" t="s">
        <v>998</v>
      </c>
      <c r="AZ57" s="33"/>
      <c r="BA57" s="36"/>
      <c r="BB57" s="36"/>
      <c r="BC57" s="36"/>
      <c r="BD57" s="34" t="s">
        <v>825</v>
      </c>
      <c r="BE57" s="24" t="s">
        <v>193</v>
      </c>
      <c r="BF57" s="54" t="s">
        <v>631</v>
      </c>
      <c r="BG57" s="33"/>
      <c r="BH57" s="43"/>
      <c r="BI57" s="43"/>
      <c r="BJ57" s="80"/>
      <c r="BK57" s="43"/>
      <c r="BL57" s="43"/>
      <c r="BM57" s="80"/>
      <c r="BN57" s="43"/>
      <c r="BO57" s="43"/>
      <c r="BP57" s="43"/>
      <c r="BQ57" s="73"/>
      <c r="BR57" s="33"/>
      <c r="BS57" s="33"/>
      <c r="BT57" s="73"/>
      <c r="BU57" s="33"/>
      <c r="BV57" s="33"/>
      <c r="BW57" s="33"/>
      <c r="BX57" s="73"/>
      <c r="BY57" s="33"/>
      <c r="BZ57" s="33"/>
      <c r="CA57" s="73"/>
      <c r="CB57" s="33"/>
      <c r="CC57" s="65"/>
      <c r="CD57" s="66"/>
      <c r="CE57" s="49"/>
      <c r="CF57" s="38"/>
      <c r="CG57" s="39" t="s">
        <v>512</v>
      </c>
      <c r="CH57" s="72" t="s">
        <v>1034</v>
      </c>
      <c r="CI57" s="33"/>
      <c r="CJ57" s="33"/>
      <c r="CK57" s="73"/>
      <c r="CL57" s="33"/>
      <c r="CM57" s="33"/>
      <c r="CN57" s="73"/>
      <c r="CO57" s="33"/>
      <c r="CQ57" s="33"/>
      <c r="CR57" s="73"/>
      <c r="CS57" s="33"/>
      <c r="CT57" s="33"/>
      <c r="CU57" s="73"/>
    </row>
    <row r="58" spans="25:99" ht="17.25"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6"/>
      <c r="AU58" s="36"/>
      <c r="AV58" s="36"/>
      <c r="AW58" s="34" t="s">
        <v>885</v>
      </c>
      <c r="AX58" s="35" t="s">
        <v>677</v>
      </c>
      <c r="AY58" s="56" t="s">
        <v>1002</v>
      </c>
      <c r="AZ58" s="33"/>
      <c r="BA58" s="36"/>
      <c r="BB58" s="36"/>
      <c r="BC58" s="36"/>
      <c r="BD58" s="34" t="s">
        <v>825</v>
      </c>
      <c r="BE58" s="35" t="s">
        <v>697</v>
      </c>
      <c r="BF58" s="54" t="s">
        <v>8</v>
      </c>
      <c r="BG58" s="33"/>
      <c r="BH58" s="43"/>
      <c r="BI58" s="43"/>
      <c r="BJ58" s="80"/>
      <c r="BK58" s="43"/>
      <c r="BL58" s="43"/>
      <c r="BM58" s="80"/>
      <c r="BN58" s="43"/>
      <c r="BO58" s="43"/>
      <c r="BP58" s="43"/>
      <c r="BQ58" s="73"/>
      <c r="BR58" s="33"/>
      <c r="BS58" s="33"/>
      <c r="BT58" s="73"/>
      <c r="BU58" s="33"/>
      <c r="BV58" s="33"/>
      <c r="BW58" s="33"/>
      <c r="BX58" s="73"/>
      <c r="BY58" s="33"/>
      <c r="BZ58" s="33"/>
      <c r="CA58" s="73"/>
      <c r="CB58" s="33"/>
      <c r="CC58" s="33"/>
      <c r="CD58" s="33"/>
      <c r="CE58" s="33"/>
      <c r="CF58" s="33"/>
      <c r="CG58" s="33"/>
      <c r="CH58" s="73"/>
      <c r="CI58" s="33"/>
      <c r="CJ58" s="33"/>
      <c r="CK58" s="73"/>
      <c r="CL58" s="33"/>
      <c r="CM58" s="33"/>
      <c r="CN58" s="73"/>
      <c r="CO58" s="33"/>
      <c r="CP58" s="33"/>
      <c r="CQ58" s="33"/>
      <c r="CR58" s="73"/>
      <c r="CS58" s="33"/>
      <c r="CT58" s="33"/>
      <c r="CU58" s="73"/>
    </row>
    <row r="59" spans="25:99" ht="17.25"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6"/>
      <c r="AU59" s="36"/>
      <c r="AV59" s="36"/>
      <c r="AW59" s="34" t="s">
        <v>886</v>
      </c>
      <c r="AX59" s="35" t="s">
        <v>121</v>
      </c>
      <c r="AY59" s="56" t="s">
        <v>972</v>
      </c>
      <c r="AZ59" s="33"/>
      <c r="BA59" s="36"/>
      <c r="BB59" s="36"/>
      <c r="BC59" s="36"/>
      <c r="BD59" s="34" t="s">
        <v>826</v>
      </c>
      <c r="BE59" s="35" t="s">
        <v>698</v>
      </c>
      <c r="BF59" s="54" t="s">
        <v>1012</v>
      </c>
      <c r="BG59" s="33"/>
      <c r="BH59" s="43"/>
      <c r="BI59" s="43"/>
      <c r="BJ59" s="80"/>
      <c r="BK59" s="43"/>
      <c r="BL59" s="43"/>
      <c r="BM59" s="80"/>
      <c r="BN59" s="43"/>
      <c r="BO59" s="43"/>
      <c r="BP59" s="43"/>
      <c r="BQ59" s="73"/>
      <c r="BR59" s="33"/>
      <c r="BS59" s="33"/>
      <c r="BT59" s="73"/>
      <c r="BU59" s="33"/>
      <c r="BV59" s="33"/>
      <c r="BW59" s="33"/>
      <c r="BX59" s="73"/>
      <c r="BY59" s="33"/>
      <c r="BZ59" s="33"/>
      <c r="CA59" s="73"/>
      <c r="CB59" s="33"/>
      <c r="CC59" s="33"/>
      <c r="CD59" s="33"/>
      <c r="CE59" s="33"/>
      <c r="CF59" s="33"/>
      <c r="CG59" s="33"/>
      <c r="CH59" s="73"/>
      <c r="CI59" s="33"/>
      <c r="CJ59" s="33"/>
      <c r="CK59" s="73"/>
      <c r="CL59" s="33"/>
      <c r="CM59" s="33"/>
      <c r="CN59" s="73"/>
      <c r="CO59" s="33"/>
      <c r="CP59" s="33"/>
    </row>
    <row r="60" spans="25:99" ht="17.25"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6"/>
      <c r="AU60" s="36"/>
      <c r="AV60" s="36"/>
      <c r="AW60" s="25" t="s">
        <v>887</v>
      </c>
      <c r="AX60" s="35" t="s">
        <v>102</v>
      </c>
      <c r="AY60" s="56" t="s">
        <v>5</v>
      </c>
      <c r="AZ60" s="33"/>
      <c r="BA60" s="36"/>
      <c r="BB60" s="36"/>
      <c r="BC60" s="36"/>
      <c r="BD60" s="34" t="s">
        <v>827</v>
      </c>
      <c r="BE60" s="35" t="s">
        <v>706</v>
      </c>
      <c r="BF60" s="54" t="s">
        <v>8</v>
      </c>
      <c r="BG60" s="33"/>
      <c r="BH60" s="43"/>
      <c r="BI60" s="43"/>
      <c r="BJ60" s="80"/>
      <c r="BK60" s="43"/>
      <c r="BL60" s="43"/>
      <c r="BM60" s="80"/>
      <c r="BN60" s="43"/>
      <c r="BO60" s="43"/>
      <c r="BP60" s="43"/>
      <c r="BQ60" s="73"/>
      <c r="BR60" s="33"/>
      <c r="BS60" s="33"/>
      <c r="BT60" s="73"/>
      <c r="BU60" s="33"/>
      <c r="BV60" s="33"/>
      <c r="BW60" s="33"/>
      <c r="BX60" s="73"/>
      <c r="BY60" s="33"/>
      <c r="BZ60" s="33"/>
      <c r="CA60" s="73"/>
      <c r="CB60" s="33"/>
      <c r="CC60" s="33"/>
      <c r="CD60" s="33"/>
      <c r="CE60" s="33"/>
      <c r="CF60" s="33"/>
      <c r="CG60" s="33"/>
      <c r="CH60" s="73"/>
      <c r="CI60" s="33"/>
      <c r="CJ60" s="33"/>
      <c r="CK60" s="73"/>
      <c r="CL60" s="33"/>
      <c r="CM60" s="33"/>
      <c r="CN60" s="73"/>
      <c r="CO60" s="33"/>
      <c r="CP60" s="33"/>
      <c r="CQ60" s="33"/>
      <c r="CR60" s="73"/>
      <c r="CS60" s="33"/>
      <c r="CT60" s="33"/>
      <c r="CU60" s="73"/>
    </row>
    <row r="61" spans="25:99" ht="17.25"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6"/>
      <c r="AU61" s="36"/>
      <c r="AV61" s="36"/>
      <c r="AW61" s="34" t="s">
        <v>888</v>
      </c>
      <c r="AX61" s="35" t="s">
        <v>201</v>
      </c>
      <c r="AY61" s="56" t="s">
        <v>5</v>
      </c>
      <c r="AZ61" s="33"/>
      <c r="BA61" s="36"/>
      <c r="BB61" s="36"/>
      <c r="BC61" s="36"/>
      <c r="BD61" s="34" t="s">
        <v>828</v>
      </c>
      <c r="BE61" s="35" t="s">
        <v>718</v>
      </c>
      <c r="BF61" s="54" t="s">
        <v>8</v>
      </c>
      <c r="BG61" s="33"/>
      <c r="BH61" s="43"/>
      <c r="BI61" s="43"/>
      <c r="BJ61" s="80"/>
      <c r="BK61" s="43"/>
      <c r="BL61" s="43"/>
      <c r="BM61" s="80"/>
      <c r="BN61" s="43"/>
      <c r="BO61" s="43"/>
      <c r="BP61" s="43"/>
      <c r="BQ61" s="73"/>
      <c r="BR61" s="33"/>
      <c r="BS61" s="33"/>
      <c r="BT61" s="73"/>
      <c r="BU61" s="33"/>
      <c r="BV61" s="33"/>
      <c r="BW61" s="33"/>
      <c r="BX61" s="73"/>
      <c r="BY61" s="33"/>
      <c r="BZ61" s="33"/>
      <c r="CA61" s="73"/>
      <c r="CB61" s="33"/>
      <c r="CC61" s="33"/>
      <c r="CD61" s="33"/>
      <c r="CE61" s="33"/>
      <c r="CF61" s="33"/>
      <c r="CG61" s="33"/>
      <c r="CH61" s="73"/>
      <c r="CI61" s="33"/>
      <c r="CJ61" s="33"/>
      <c r="CK61" s="73"/>
      <c r="CL61" s="33"/>
      <c r="CM61" s="33"/>
      <c r="CN61" s="73"/>
      <c r="CO61" s="33"/>
      <c r="CP61" s="33"/>
      <c r="CQ61" s="33"/>
      <c r="CR61" s="73"/>
      <c r="CS61" s="33"/>
      <c r="CT61" s="33"/>
      <c r="CU61" s="73"/>
    </row>
    <row r="62" spans="25:99" ht="17.25"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6"/>
      <c r="AU62" s="36"/>
      <c r="AV62" s="36"/>
      <c r="AW62" s="34" t="s">
        <v>889</v>
      </c>
      <c r="AX62" s="35" t="s">
        <v>98</v>
      </c>
      <c r="AY62" s="56" t="s">
        <v>5</v>
      </c>
      <c r="AZ62" s="33"/>
      <c r="BA62" s="36"/>
      <c r="BB62" s="36"/>
      <c r="BC62" s="36"/>
      <c r="BD62" s="34" t="s">
        <v>829</v>
      </c>
      <c r="BE62" s="24" t="s">
        <v>719</v>
      </c>
      <c r="BF62" s="54" t="s">
        <v>8</v>
      </c>
      <c r="BG62" s="33"/>
      <c r="BH62" s="43"/>
      <c r="BI62" s="43"/>
      <c r="BJ62" s="80"/>
      <c r="BK62" s="43"/>
      <c r="BL62" s="43"/>
      <c r="BM62" s="80"/>
      <c r="BN62" s="43"/>
      <c r="BO62" s="43"/>
      <c r="BP62" s="43"/>
      <c r="BQ62" s="73"/>
      <c r="BR62" s="33"/>
      <c r="BS62" s="33"/>
      <c r="BT62" s="73"/>
      <c r="BU62" s="33"/>
      <c r="BV62" s="33"/>
      <c r="BW62" s="33"/>
      <c r="BX62" s="73"/>
      <c r="BY62" s="33"/>
      <c r="BZ62" s="33"/>
      <c r="CA62" s="73"/>
      <c r="CB62" s="33"/>
      <c r="CC62" s="33"/>
      <c r="CD62" s="33"/>
      <c r="CE62" s="33"/>
      <c r="CF62" s="33"/>
      <c r="CG62" s="33"/>
      <c r="CH62" s="73"/>
      <c r="CI62" s="33"/>
      <c r="CJ62" s="33"/>
      <c r="CK62" s="73"/>
      <c r="CL62" s="33"/>
      <c r="CM62" s="33"/>
      <c r="CN62" s="73"/>
      <c r="CO62" s="33"/>
      <c r="CP62" s="33"/>
      <c r="CQ62" s="33"/>
      <c r="CR62" s="73"/>
      <c r="CS62" s="33"/>
      <c r="CT62" s="33"/>
      <c r="CU62" s="73"/>
    </row>
    <row r="63" spans="25:99" ht="17.25"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6"/>
      <c r="AU63" s="36"/>
      <c r="AV63" s="36"/>
      <c r="AW63" s="34" t="s">
        <v>890</v>
      </c>
      <c r="AX63" s="35" t="s">
        <v>104</v>
      </c>
      <c r="AY63" s="56" t="s">
        <v>5</v>
      </c>
      <c r="AZ63" s="33"/>
      <c r="BA63" s="36"/>
      <c r="BB63" s="36"/>
      <c r="BC63" s="36"/>
      <c r="BD63" s="34" t="s">
        <v>830</v>
      </c>
      <c r="BE63" s="35" t="s">
        <v>73</v>
      </c>
      <c r="BF63" s="54" t="s">
        <v>8</v>
      </c>
      <c r="BG63" s="33"/>
      <c r="BH63" s="43"/>
      <c r="BI63" s="43"/>
      <c r="BJ63" s="80"/>
      <c r="BK63" s="43"/>
      <c r="BL63" s="43"/>
      <c r="BM63" s="80"/>
      <c r="BN63" s="43"/>
      <c r="BO63" s="43"/>
      <c r="BP63" s="43"/>
      <c r="BQ63" s="73"/>
      <c r="BR63" s="33"/>
      <c r="BS63" s="33"/>
      <c r="BT63" s="73"/>
      <c r="BU63" s="33"/>
      <c r="BV63" s="33"/>
      <c r="BW63" s="33"/>
      <c r="BX63" s="73"/>
      <c r="BY63" s="33"/>
      <c r="BZ63" s="33"/>
      <c r="CA63" s="73"/>
      <c r="CB63" s="33"/>
      <c r="CC63" s="33"/>
      <c r="CD63" s="33"/>
      <c r="CE63" s="33"/>
      <c r="CF63" s="33"/>
      <c r="CG63" s="33"/>
      <c r="CH63" s="73"/>
      <c r="CI63" s="33"/>
      <c r="CJ63" s="33"/>
      <c r="CK63" s="73"/>
      <c r="CL63" s="33"/>
      <c r="CM63" s="33"/>
      <c r="CN63" s="73"/>
      <c r="CO63" s="33"/>
      <c r="CP63" s="33"/>
      <c r="CQ63" s="33"/>
      <c r="CR63" s="73"/>
      <c r="CS63" s="33"/>
      <c r="CT63" s="33"/>
      <c r="CU63" s="73"/>
    </row>
    <row r="64" spans="25:99" ht="17.25"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6"/>
      <c r="AU64" s="36"/>
      <c r="AV64" s="36"/>
      <c r="AW64" s="25" t="s">
        <v>891</v>
      </c>
      <c r="AX64" s="35" t="s">
        <v>16</v>
      </c>
      <c r="AY64" s="56" t="s">
        <v>985</v>
      </c>
      <c r="AZ64" s="33"/>
      <c r="BA64" s="36"/>
      <c r="BB64" s="36"/>
      <c r="BC64" s="36"/>
      <c r="BD64" s="34" t="s">
        <v>831</v>
      </c>
      <c r="BE64" s="35" t="s">
        <v>123</v>
      </c>
      <c r="BF64" s="54" t="s">
        <v>8</v>
      </c>
      <c r="BG64" s="33"/>
      <c r="BH64" s="43"/>
      <c r="BI64" s="43"/>
      <c r="BJ64" s="80"/>
      <c r="BK64" s="43"/>
      <c r="BL64" s="43"/>
      <c r="BM64" s="80"/>
      <c r="BN64" s="43"/>
      <c r="BO64" s="43"/>
      <c r="BP64" s="43"/>
      <c r="BQ64" s="73"/>
      <c r="BR64" s="33"/>
      <c r="BS64" s="33"/>
      <c r="BT64" s="73"/>
      <c r="BU64" s="33"/>
      <c r="BV64" s="33"/>
      <c r="BW64" s="33"/>
      <c r="BX64" s="73"/>
      <c r="BY64" s="33"/>
      <c r="BZ64" s="33"/>
      <c r="CA64" s="73"/>
      <c r="CB64" s="33"/>
      <c r="CC64" s="33"/>
      <c r="CD64" s="33"/>
      <c r="CE64" s="33"/>
      <c r="CF64" s="33"/>
      <c r="CG64" s="33"/>
      <c r="CH64" s="73"/>
      <c r="CI64" s="33"/>
      <c r="CJ64" s="33"/>
      <c r="CK64" s="73"/>
      <c r="CL64" s="33"/>
      <c r="CM64" s="33"/>
      <c r="CN64" s="73"/>
      <c r="CO64" s="33"/>
      <c r="CP64" s="33"/>
      <c r="CQ64" s="33"/>
      <c r="CR64" s="73"/>
      <c r="CS64" s="33"/>
      <c r="CT64" s="33"/>
      <c r="CU64" s="73"/>
    </row>
    <row r="65" spans="32:99" ht="17.25"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6"/>
      <c r="AU65" s="36"/>
      <c r="AV65" s="36"/>
      <c r="AW65" s="34" t="s">
        <v>892</v>
      </c>
      <c r="AX65" s="35" t="s">
        <v>202</v>
      </c>
      <c r="AY65" s="56" t="s">
        <v>991</v>
      </c>
      <c r="AZ65" s="33"/>
      <c r="BA65" s="36"/>
      <c r="BB65" s="36"/>
      <c r="BC65" s="36"/>
      <c r="BD65" s="34" t="s">
        <v>832</v>
      </c>
      <c r="BE65" s="35" t="s">
        <v>37</v>
      </c>
      <c r="BF65" s="54" t="s">
        <v>8</v>
      </c>
      <c r="BG65" s="33"/>
      <c r="BH65" s="43"/>
      <c r="BI65" s="43"/>
      <c r="BJ65" s="80"/>
      <c r="BK65" s="43"/>
      <c r="BL65" s="43"/>
      <c r="BM65" s="80"/>
      <c r="BN65" s="43"/>
      <c r="BO65" s="43"/>
      <c r="BP65" s="43"/>
      <c r="BQ65" s="73"/>
      <c r="BR65" s="33"/>
      <c r="BS65" s="33"/>
      <c r="BT65" s="73"/>
      <c r="BU65" s="33"/>
      <c r="BV65" s="33"/>
      <c r="BW65" s="33"/>
      <c r="BX65" s="73"/>
      <c r="BY65" s="33"/>
      <c r="BZ65" s="33"/>
      <c r="CA65" s="73"/>
      <c r="CB65" s="33"/>
      <c r="CC65" s="33"/>
      <c r="CD65" s="33"/>
      <c r="CE65" s="33"/>
      <c r="CF65" s="33"/>
      <c r="CG65" s="33"/>
      <c r="CH65" s="73"/>
      <c r="CI65" s="33"/>
      <c r="CJ65" s="33"/>
      <c r="CK65" s="73"/>
      <c r="CL65" s="33"/>
      <c r="CM65" s="33"/>
      <c r="CN65" s="73"/>
      <c r="CO65" s="33"/>
      <c r="CP65" s="33"/>
      <c r="CQ65" s="33"/>
      <c r="CR65" s="73"/>
      <c r="CS65" s="33"/>
      <c r="CT65" s="33"/>
      <c r="CU65" s="73"/>
    </row>
    <row r="66" spans="32:99" ht="17.25"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6"/>
      <c r="AU66" s="36"/>
      <c r="AV66" s="36"/>
      <c r="AW66" s="34" t="s">
        <v>893</v>
      </c>
      <c r="AX66" s="24" t="s">
        <v>96</v>
      </c>
      <c r="AY66" s="56" t="s">
        <v>1004</v>
      </c>
      <c r="AZ66" s="33"/>
      <c r="BA66" s="36"/>
      <c r="BB66" s="36"/>
      <c r="BC66" s="36"/>
      <c r="BD66" s="34" t="s">
        <v>833</v>
      </c>
      <c r="BE66" s="35" t="s">
        <v>92</v>
      </c>
      <c r="BF66" s="56" t="s">
        <v>1007</v>
      </c>
      <c r="BG66" s="33"/>
      <c r="BH66" s="43"/>
      <c r="BI66" s="43"/>
      <c r="BJ66" s="80"/>
      <c r="BK66" s="43"/>
      <c r="BL66" s="43"/>
      <c r="BM66" s="80"/>
      <c r="BN66" s="43"/>
      <c r="BO66" s="43"/>
      <c r="BP66" s="43"/>
      <c r="BQ66" s="73"/>
      <c r="BR66" s="33"/>
      <c r="BS66" s="33"/>
      <c r="BT66" s="73"/>
      <c r="BU66" s="33"/>
      <c r="BV66" s="33"/>
      <c r="BW66" s="33"/>
      <c r="BX66" s="73"/>
      <c r="BY66" s="33"/>
      <c r="BZ66" s="33"/>
      <c r="CA66" s="73"/>
      <c r="CB66" s="33"/>
      <c r="CC66" s="33"/>
      <c r="CD66" s="33"/>
      <c r="CE66" s="33"/>
      <c r="CF66" s="33"/>
      <c r="CG66" s="33"/>
      <c r="CH66" s="73"/>
      <c r="CI66" s="33"/>
      <c r="CJ66" s="33"/>
      <c r="CK66" s="73"/>
      <c r="CL66" s="33"/>
      <c r="CM66" s="33"/>
      <c r="CN66" s="73"/>
      <c r="CO66" s="33"/>
      <c r="CP66" s="33"/>
      <c r="CQ66" s="33"/>
      <c r="CR66" s="73"/>
      <c r="CS66" s="33"/>
      <c r="CT66" s="33"/>
      <c r="CU66" s="73"/>
    </row>
    <row r="67" spans="32:99" ht="17.25"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6"/>
      <c r="AU67" s="36"/>
      <c r="AV67" s="36"/>
      <c r="AW67" s="34" t="s">
        <v>894</v>
      </c>
      <c r="AX67" s="35" t="s">
        <v>97</v>
      </c>
      <c r="AY67" s="56" t="s">
        <v>1005</v>
      </c>
      <c r="AZ67" s="33"/>
      <c r="BA67" s="36"/>
      <c r="BB67" s="36"/>
      <c r="BC67" s="36"/>
      <c r="BD67" s="34" t="s">
        <v>834</v>
      </c>
      <c r="BE67" s="35" t="s">
        <v>191</v>
      </c>
      <c r="BF67" s="56" t="s">
        <v>972</v>
      </c>
      <c r="BG67" s="33"/>
      <c r="BH67" s="43"/>
      <c r="BI67" s="43"/>
      <c r="BJ67" s="80"/>
      <c r="BK67" s="43"/>
      <c r="BL67" s="43"/>
      <c r="BM67" s="80"/>
      <c r="BN67" s="43"/>
      <c r="BO67" s="43"/>
      <c r="BP67" s="43"/>
      <c r="BQ67" s="73"/>
      <c r="BR67" s="33"/>
      <c r="BS67" s="33"/>
      <c r="BT67" s="73"/>
      <c r="BU67" s="33"/>
      <c r="BV67" s="33"/>
      <c r="BW67" s="33"/>
      <c r="BX67" s="73"/>
      <c r="BY67" s="33"/>
      <c r="BZ67" s="33"/>
      <c r="CA67" s="73"/>
      <c r="CB67" s="33"/>
      <c r="CC67" s="33"/>
      <c r="CD67" s="33"/>
      <c r="CE67" s="33"/>
      <c r="CF67" s="33"/>
      <c r="CG67" s="33"/>
      <c r="CH67" s="73"/>
      <c r="CI67" s="33"/>
      <c r="CJ67" s="33"/>
      <c r="CK67" s="73"/>
      <c r="CL67" s="33"/>
      <c r="CM67" s="33"/>
      <c r="CN67" s="73"/>
      <c r="CO67" s="33"/>
      <c r="CP67" s="33"/>
      <c r="CQ67" s="33"/>
      <c r="CR67" s="73"/>
      <c r="CS67" s="33"/>
      <c r="CT67" s="33"/>
      <c r="CU67" s="73"/>
    </row>
    <row r="68" spans="32:99" ht="17.25"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6"/>
      <c r="AU68" s="36"/>
      <c r="AV68" s="36"/>
      <c r="AW68" s="34" t="s">
        <v>885</v>
      </c>
      <c r="AX68" s="24" t="s">
        <v>176</v>
      </c>
      <c r="AY68" s="56" t="s">
        <v>444</v>
      </c>
      <c r="AZ68" s="33"/>
      <c r="BA68" s="36"/>
      <c r="BB68" s="36"/>
      <c r="BC68" s="36"/>
      <c r="BD68" s="34" t="s">
        <v>832</v>
      </c>
      <c r="BE68" s="35" t="s">
        <v>40</v>
      </c>
      <c r="BF68" s="56" t="s">
        <v>1008</v>
      </c>
      <c r="BG68" s="33"/>
      <c r="BH68" s="43"/>
      <c r="BI68" s="43"/>
      <c r="BJ68" s="80"/>
      <c r="BK68" s="43"/>
      <c r="BL68" s="43"/>
      <c r="BM68" s="80"/>
      <c r="BN68" s="43"/>
      <c r="BO68" s="43"/>
      <c r="BP68" s="43"/>
      <c r="BQ68" s="73"/>
      <c r="BR68" s="33"/>
      <c r="BS68" s="33"/>
      <c r="BT68" s="73"/>
      <c r="BU68" s="33"/>
      <c r="BV68" s="33"/>
      <c r="BW68" s="33"/>
      <c r="BX68" s="73"/>
      <c r="BY68" s="33"/>
      <c r="BZ68" s="33"/>
      <c r="CA68" s="73"/>
      <c r="CB68" s="33"/>
      <c r="CC68" s="33"/>
      <c r="CD68" s="33"/>
      <c r="CE68" s="33"/>
      <c r="CF68" s="33"/>
      <c r="CG68" s="33"/>
      <c r="CH68" s="73"/>
      <c r="CI68" s="33"/>
      <c r="CJ68" s="33"/>
      <c r="CK68" s="73"/>
      <c r="CL68" s="33"/>
      <c r="CM68" s="33"/>
      <c r="CN68" s="73"/>
      <c r="CO68" s="33"/>
      <c r="CP68" s="33"/>
      <c r="CQ68" s="33"/>
      <c r="CR68" s="73"/>
      <c r="CS68" s="33"/>
      <c r="CT68" s="33"/>
      <c r="CU68" s="73"/>
    </row>
    <row r="69" spans="32:99" ht="17.25"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6"/>
      <c r="AU69" s="36"/>
      <c r="AV69" s="36"/>
      <c r="AW69" s="34" t="s">
        <v>895</v>
      </c>
      <c r="AX69" s="35" t="s">
        <v>165</v>
      </c>
      <c r="AY69" s="54" t="s">
        <v>8</v>
      </c>
      <c r="AZ69" s="33"/>
      <c r="BA69" s="36"/>
      <c r="BB69" s="36"/>
      <c r="BC69" s="36"/>
      <c r="BD69" s="34" t="s">
        <v>836</v>
      </c>
      <c r="BE69" s="35" t="s">
        <v>693</v>
      </c>
      <c r="BF69" s="56" t="s">
        <v>5</v>
      </c>
      <c r="BG69" s="33"/>
      <c r="BH69" s="43"/>
      <c r="BI69" s="43"/>
      <c r="BJ69" s="80"/>
      <c r="BK69" s="43"/>
      <c r="BL69" s="43"/>
      <c r="BM69" s="80"/>
      <c r="BN69" s="43"/>
      <c r="BO69" s="43"/>
      <c r="BP69" s="43"/>
      <c r="BQ69" s="73"/>
      <c r="BR69" s="33"/>
      <c r="BS69" s="33"/>
      <c r="BT69" s="73"/>
      <c r="BU69" s="33"/>
      <c r="BV69" s="33"/>
      <c r="BW69" s="33"/>
      <c r="BX69" s="73"/>
      <c r="BY69" s="33"/>
      <c r="BZ69" s="33"/>
      <c r="CA69" s="73"/>
      <c r="CB69" s="33"/>
      <c r="CC69" s="33"/>
      <c r="CD69" s="33"/>
      <c r="CE69" s="33"/>
      <c r="CF69" s="33"/>
      <c r="CG69" s="33"/>
      <c r="CH69" s="73"/>
      <c r="CI69" s="33"/>
      <c r="CJ69" s="33"/>
      <c r="CK69" s="73"/>
      <c r="CL69" s="33"/>
      <c r="CM69" s="33"/>
      <c r="CN69" s="73"/>
      <c r="CO69" s="33"/>
      <c r="CP69" s="33"/>
      <c r="CQ69" s="33"/>
      <c r="CR69" s="73"/>
      <c r="CS69" s="33"/>
      <c r="CT69" s="33"/>
      <c r="CU69" s="73"/>
    </row>
    <row r="70" spans="32:99" ht="17.25"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243"/>
      <c r="AU70" s="243"/>
      <c r="AV70" s="243"/>
      <c r="AW70" s="33"/>
      <c r="AX70" s="33"/>
      <c r="AY70" s="73"/>
      <c r="AZ70" s="33"/>
      <c r="BA70" s="36"/>
      <c r="BB70" s="36"/>
      <c r="BC70" s="36"/>
      <c r="BD70" s="34" t="s">
        <v>837</v>
      </c>
      <c r="BE70" s="35" t="s">
        <v>141</v>
      </c>
      <c r="BF70" s="56" t="s">
        <v>5</v>
      </c>
      <c r="BG70" s="33"/>
      <c r="BH70" s="43"/>
      <c r="BI70" s="43"/>
      <c r="BJ70" s="80"/>
      <c r="BK70" s="43"/>
      <c r="BL70" s="43"/>
      <c r="BM70" s="80"/>
      <c r="BN70" s="43"/>
      <c r="BO70" s="43"/>
      <c r="BP70" s="43"/>
      <c r="BQ70" s="73"/>
      <c r="BR70" s="33"/>
      <c r="BS70" s="33"/>
      <c r="BT70" s="73"/>
      <c r="BU70" s="33"/>
      <c r="BV70" s="33"/>
      <c r="BW70" s="33"/>
      <c r="BX70" s="73"/>
      <c r="BY70" s="33"/>
      <c r="BZ70" s="33"/>
      <c r="CA70" s="73"/>
      <c r="CB70" s="33"/>
      <c r="CC70" s="33"/>
      <c r="CD70" s="33"/>
      <c r="CE70" s="33"/>
      <c r="CF70" s="33"/>
      <c r="CG70" s="33"/>
      <c r="CH70" s="73"/>
      <c r="CI70" s="33"/>
      <c r="CJ70" s="33"/>
      <c r="CK70" s="73"/>
      <c r="CL70" s="33"/>
      <c r="CM70" s="33"/>
      <c r="CN70" s="73"/>
      <c r="CO70" s="33"/>
      <c r="CP70" s="33"/>
      <c r="CQ70" s="33"/>
      <c r="CR70" s="73"/>
      <c r="CS70" s="33"/>
      <c r="CT70" s="33"/>
      <c r="CU70" s="73"/>
    </row>
    <row r="71" spans="32:99" ht="17.25"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73"/>
      <c r="AZ71" s="33"/>
      <c r="BA71" s="36"/>
      <c r="BB71" s="36"/>
      <c r="BC71" s="36"/>
      <c r="BD71" s="34" t="s">
        <v>838</v>
      </c>
      <c r="BE71" s="35" t="s">
        <v>160</v>
      </c>
      <c r="BF71" s="56" t="s">
        <v>5</v>
      </c>
      <c r="BG71" s="33"/>
      <c r="BH71" s="33"/>
      <c r="BI71" s="33"/>
      <c r="BJ71" s="73"/>
      <c r="BK71" s="33"/>
      <c r="BL71" s="33"/>
      <c r="BM71" s="73"/>
      <c r="BN71" s="33"/>
      <c r="BO71" s="33"/>
      <c r="BP71" s="33"/>
      <c r="BQ71" s="73"/>
      <c r="BR71" s="33"/>
      <c r="BS71" s="33"/>
      <c r="BT71" s="73"/>
      <c r="BU71" s="33"/>
      <c r="BV71" s="33"/>
      <c r="BW71" s="33"/>
      <c r="BX71" s="73"/>
      <c r="BY71" s="33"/>
      <c r="BZ71" s="33"/>
      <c r="CA71" s="73"/>
      <c r="CB71" s="33"/>
      <c r="CC71" s="33"/>
      <c r="CD71" s="33"/>
      <c r="CE71" s="33"/>
      <c r="CF71" s="33"/>
      <c r="CG71" s="33"/>
      <c r="CH71" s="73"/>
      <c r="CI71" s="33"/>
      <c r="CJ71" s="33"/>
      <c r="CK71" s="73"/>
      <c r="CL71" s="33"/>
      <c r="CM71" s="33"/>
      <c r="CN71" s="73"/>
      <c r="CO71" s="33"/>
      <c r="CP71" s="33"/>
      <c r="CQ71" s="33"/>
      <c r="CR71" s="73"/>
      <c r="CS71" s="33"/>
      <c r="CT71" s="33"/>
      <c r="CU71" s="73"/>
    </row>
    <row r="72" spans="32:99" ht="17.25"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73"/>
      <c r="AZ72" s="33"/>
      <c r="BA72" s="36"/>
      <c r="BB72" s="36"/>
      <c r="BC72" s="36"/>
      <c r="BD72" s="34" t="s">
        <v>839</v>
      </c>
      <c r="BE72" s="35" t="s">
        <v>119</v>
      </c>
      <c r="BF72" s="56" t="s">
        <v>5</v>
      </c>
      <c r="BG72" s="33"/>
      <c r="BH72" s="33"/>
      <c r="BI72" s="33"/>
      <c r="BJ72" s="73"/>
      <c r="BK72" s="33"/>
      <c r="BL72" s="33"/>
      <c r="BM72" s="73"/>
      <c r="BN72" s="33"/>
      <c r="BO72" s="33"/>
      <c r="BP72" s="33"/>
      <c r="BQ72" s="73"/>
      <c r="BR72" s="33"/>
      <c r="BS72" s="33"/>
      <c r="BT72" s="73"/>
      <c r="BU72" s="33"/>
      <c r="BV72" s="33"/>
      <c r="BW72" s="33"/>
      <c r="BX72" s="73"/>
      <c r="BY72" s="33"/>
      <c r="BZ72" s="33"/>
      <c r="CA72" s="73"/>
      <c r="CB72" s="33"/>
      <c r="CC72" s="33"/>
      <c r="CD72" s="33"/>
      <c r="CE72" s="33"/>
      <c r="CF72" s="33"/>
      <c r="CG72" s="33"/>
      <c r="CH72" s="73"/>
      <c r="CI72" s="33"/>
      <c r="CJ72" s="33"/>
      <c r="CK72" s="73"/>
      <c r="CL72" s="33"/>
      <c r="CM72" s="33"/>
      <c r="CN72" s="73"/>
      <c r="CO72" s="33"/>
      <c r="CP72" s="33"/>
      <c r="CQ72" s="33"/>
      <c r="CR72" s="73"/>
      <c r="CS72" s="33"/>
      <c r="CT72" s="33"/>
      <c r="CU72" s="73"/>
    </row>
    <row r="73" spans="32:99" ht="17.25"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73"/>
      <c r="AZ73" s="33"/>
      <c r="BA73" s="36"/>
      <c r="BB73" s="36"/>
      <c r="BC73" s="36"/>
      <c r="BD73" s="34" t="s">
        <v>840</v>
      </c>
      <c r="BE73" s="35" t="s">
        <v>161</v>
      </c>
      <c r="BF73" s="56" t="s">
        <v>5</v>
      </c>
      <c r="BG73" s="33"/>
      <c r="BH73" s="33"/>
      <c r="BI73" s="33"/>
      <c r="BJ73" s="73"/>
      <c r="BK73" s="33"/>
      <c r="BL73" s="33"/>
      <c r="BM73" s="73"/>
      <c r="BN73" s="33"/>
      <c r="BO73" s="33"/>
      <c r="BP73" s="33"/>
      <c r="BQ73" s="73"/>
      <c r="BR73" s="33"/>
      <c r="BS73" s="33"/>
      <c r="BT73" s="73"/>
      <c r="BU73" s="33"/>
      <c r="BV73" s="33"/>
      <c r="BW73" s="33"/>
      <c r="BX73" s="73"/>
      <c r="BY73" s="33"/>
      <c r="BZ73" s="33"/>
      <c r="CA73" s="73"/>
      <c r="CB73" s="33"/>
      <c r="CC73" s="33"/>
      <c r="CD73" s="33"/>
      <c r="CE73" s="33"/>
      <c r="CF73" s="33"/>
      <c r="CG73" s="33"/>
      <c r="CH73" s="73"/>
      <c r="CI73" s="33"/>
      <c r="CJ73" s="33"/>
      <c r="CK73" s="73"/>
      <c r="CL73" s="33"/>
      <c r="CM73" s="33"/>
      <c r="CN73" s="73"/>
      <c r="CO73" s="33"/>
      <c r="CP73" s="33"/>
      <c r="CQ73" s="33"/>
      <c r="CR73" s="73"/>
      <c r="CS73" s="33"/>
      <c r="CT73" s="33"/>
      <c r="CU73" s="73"/>
    </row>
    <row r="74" spans="32:99" ht="17.25"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52"/>
      <c r="AW74" s="33"/>
      <c r="AX74" s="33"/>
      <c r="AY74" s="73"/>
      <c r="AZ74" s="33"/>
      <c r="BA74" s="36"/>
      <c r="BB74" s="36"/>
      <c r="BC74" s="36"/>
      <c r="BD74" s="25" t="s">
        <v>841</v>
      </c>
      <c r="BE74" s="35" t="s">
        <v>131</v>
      </c>
      <c r="BF74" s="56" t="s">
        <v>5</v>
      </c>
      <c r="BG74" s="33"/>
      <c r="BH74" s="33"/>
      <c r="BI74" s="33"/>
      <c r="BJ74" s="73"/>
      <c r="BK74" s="33"/>
      <c r="BL74" s="33"/>
      <c r="BM74" s="73"/>
      <c r="BN74" s="33"/>
      <c r="BO74" s="33"/>
      <c r="BP74" s="33"/>
      <c r="BQ74" s="73"/>
      <c r="BR74" s="33"/>
      <c r="BS74" s="33"/>
      <c r="BT74" s="73"/>
      <c r="BU74" s="33"/>
      <c r="BV74" s="33"/>
      <c r="BW74" s="33"/>
      <c r="BX74" s="73"/>
      <c r="BY74" s="33"/>
      <c r="BZ74" s="33"/>
      <c r="CA74" s="73"/>
      <c r="CB74" s="33"/>
      <c r="CC74" s="33"/>
      <c r="CD74" s="33"/>
      <c r="CE74" s="33"/>
      <c r="CF74" s="33"/>
      <c r="CG74" s="33"/>
      <c r="CH74" s="73"/>
      <c r="CI74" s="33"/>
      <c r="CJ74" s="33"/>
      <c r="CK74" s="73"/>
      <c r="CL74" s="33"/>
      <c r="CM74" s="33"/>
      <c r="CN74" s="73"/>
      <c r="CO74" s="33"/>
      <c r="CP74" s="33"/>
      <c r="CQ74" s="33"/>
      <c r="CR74" s="73"/>
      <c r="CS74" s="33"/>
      <c r="CT74" s="33"/>
      <c r="CU74" s="73"/>
    </row>
    <row r="75" spans="32:99" ht="17.25"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73"/>
      <c r="AZ75" s="33"/>
      <c r="BA75" s="36"/>
      <c r="BB75" s="36"/>
      <c r="BC75" s="36"/>
      <c r="BD75" s="34" t="s">
        <v>842</v>
      </c>
      <c r="BE75" s="35" t="s">
        <v>93</v>
      </c>
      <c r="BF75" s="56" t="s">
        <v>989</v>
      </c>
      <c r="BG75" s="33"/>
      <c r="BH75" s="33"/>
      <c r="BI75" s="33"/>
      <c r="BJ75" s="73"/>
      <c r="BK75" s="33"/>
      <c r="BL75" s="33"/>
      <c r="BM75" s="73"/>
      <c r="BN75" s="33"/>
      <c r="BO75" s="33"/>
      <c r="BP75" s="33"/>
      <c r="BQ75" s="73"/>
      <c r="BR75" s="33"/>
      <c r="BS75" s="33"/>
      <c r="BT75" s="73"/>
      <c r="BU75" s="33"/>
      <c r="BV75" s="33"/>
      <c r="BW75" s="33"/>
      <c r="BX75" s="73"/>
      <c r="BY75" s="33"/>
      <c r="BZ75" s="33"/>
      <c r="CA75" s="73"/>
      <c r="CB75" s="33"/>
      <c r="CC75" s="33"/>
      <c r="CD75" s="33"/>
      <c r="CE75" s="33"/>
      <c r="CF75" s="33"/>
      <c r="CG75" s="33"/>
      <c r="CH75" s="73"/>
      <c r="CI75" s="33"/>
      <c r="CJ75" s="33"/>
      <c r="CK75" s="73"/>
      <c r="CL75" s="33"/>
      <c r="CM75" s="33"/>
      <c r="CN75" s="73"/>
      <c r="CO75" s="33"/>
      <c r="CP75" s="33"/>
      <c r="CQ75" s="33"/>
      <c r="CR75" s="73"/>
      <c r="CS75" s="33"/>
      <c r="CT75" s="33"/>
      <c r="CU75" s="73"/>
    </row>
    <row r="76" spans="32:99" ht="17.25"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73"/>
      <c r="AZ76" s="33"/>
      <c r="BA76" s="36"/>
      <c r="BB76" s="36"/>
      <c r="BC76" s="36"/>
      <c r="BD76" s="34" t="s">
        <v>843</v>
      </c>
      <c r="BE76" s="35" t="s">
        <v>715</v>
      </c>
      <c r="BF76" s="56" t="s">
        <v>1014</v>
      </c>
      <c r="BG76" s="33"/>
      <c r="BH76" s="33"/>
      <c r="BI76" s="33"/>
      <c r="BJ76" s="73"/>
      <c r="BK76" s="33"/>
      <c r="BL76" s="33"/>
      <c r="BM76" s="73"/>
      <c r="BN76" s="33"/>
      <c r="BO76" s="33"/>
      <c r="BP76" s="33"/>
      <c r="BQ76" s="73"/>
      <c r="BR76" s="33"/>
      <c r="BS76" s="33"/>
      <c r="BT76" s="73"/>
      <c r="BU76" s="33"/>
      <c r="BV76" s="33"/>
      <c r="BW76" s="33"/>
      <c r="BX76" s="73"/>
      <c r="BY76" s="33"/>
      <c r="BZ76" s="33"/>
      <c r="CA76" s="73"/>
      <c r="CB76" s="33"/>
      <c r="CC76" s="33"/>
      <c r="CD76" s="33"/>
      <c r="CE76" s="33"/>
      <c r="CF76" s="33"/>
      <c r="CG76" s="33"/>
      <c r="CH76" s="73"/>
      <c r="CI76" s="33"/>
      <c r="CJ76" s="33"/>
      <c r="CK76" s="73"/>
      <c r="CL76" s="33"/>
      <c r="CM76" s="33"/>
      <c r="CN76" s="73"/>
      <c r="CO76" s="33"/>
      <c r="CP76" s="33"/>
      <c r="CQ76" s="33"/>
      <c r="CR76" s="73"/>
      <c r="CS76" s="33"/>
      <c r="CT76" s="33"/>
      <c r="CU76" s="73"/>
    </row>
    <row r="77" spans="32:99" ht="17.25"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73"/>
      <c r="AZ77" s="33"/>
      <c r="BA77" s="36"/>
      <c r="BB77" s="36"/>
      <c r="BC77" s="36"/>
      <c r="BD77" s="34" t="s">
        <v>844</v>
      </c>
      <c r="BE77" s="35" t="s">
        <v>32</v>
      </c>
      <c r="BF77" s="59" t="s">
        <v>443</v>
      </c>
      <c r="BG77" s="33"/>
      <c r="BH77" s="33"/>
      <c r="BI77" s="33"/>
      <c r="BJ77" s="73"/>
      <c r="BK77" s="33"/>
      <c r="BL77" s="33"/>
      <c r="BM77" s="73"/>
      <c r="BN77" s="33"/>
      <c r="BO77" s="33"/>
      <c r="BP77" s="33"/>
      <c r="BQ77" s="73"/>
      <c r="BR77" s="33"/>
      <c r="BS77" s="33"/>
      <c r="BT77" s="73"/>
      <c r="BU77" s="33"/>
      <c r="BV77" s="33"/>
      <c r="BW77" s="33"/>
      <c r="BX77" s="73"/>
      <c r="BY77" s="33"/>
      <c r="BZ77" s="33"/>
      <c r="CA77" s="73"/>
      <c r="CB77" s="33"/>
      <c r="CC77" s="33"/>
      <c r="CD77" s="33"/>
      <c r="CE77" s="33"/>
      <c r="CF77" s="33"/>
      <c r="CG77" s="33"/>
      <c r="CH77" s="73"/>
      <c r="CI77" s="33"/>
      <c r="CJ77" s="33"/>
      <c r="CK77" s="73"/>
      <c r="CL77" s="33"/>
      <c r="CM77" s="33"/>
      <c r="CN77" s="73"/>
      <c r="CO77" s="33"/>
      <c r="CP77" s="33"/>
      <c r="CQ77" s="33"/>
      <c r="CR77" s="73"/>
      <c r="CS77" s="33"/>
      <c r="CT77" s="33"/>
      <c r="CU77" s="73"/>
    </row>
    <row r="78" spans="32:99" ht="17.25"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73"/>
      <c r="AZ78" s="33"/>
      <c r="BA78" s="36"/>
      <c r="BB78" s="36"/>
      <c r="BC78" s="36"/>
      <c r="BD78" s="34" t="s">
        <v>845</v>
      </c>
      <c r="BE78" s="35" t="s">
        <v>113</v>
      </c>
      <c r="BF78" s="56" t="s">
        <v>444</v>
      </c>
      <c r="BG78" s="33"/>
      <c r="BH78" s="33"/>
      <c r="BI78" s="33"/>
      <c r="BJ78" s="73"/>
      <c r="BK78" s="33"/>
      <c r="BL78" s="33"/>
      <c r="BM78" s="73"/>
      <c r="BN78" s="33"/>
      <c r="BO78" s="33"/>
      <c r="BP78" s="33"/>
      <c r="BQ78" s="73"/>
      <c r="BR78" s="33"/>
      <c r="BS78" s="33"/>
      <c r="BT78" s="73"/>
      <c r="BU78" s="33"/>
      <c r="BV78" s="33"/>
      <c r="BW78" s="33"/>
      <c r="BX78" s="73"/>
      <c r="BY78" s="33"/>
      <c r="BZ78" s="33"/>
      <c r="CA78" s="73"/>
      <c r="CB78" s="33"/>
      <c r="CC78" s="33"/>
      <c r="CD78" s="33"/>
      <c r="CE78" s="33"/>
      <c r="CF78" s="33"/>
      <c r="CG78" s="33"/>
      <c r="CH78" s="73"/>
      <c r="CI78" s="33"/>
      <c r="CJ78" s="33"/>
      <c r="CK78" s="73"/>
      <c r="CL78" s="33"/>
      <c r="CM78" s="33"/>
      <c r="CN78" s="73"/>
      <c r="CO78" s="33"/>
      <c r="CP78" s="33"/>
      <c r="CQ78" s="33"/>
      <c r="CR78" s="73"/>
      <c r="CS78" s="33"/>
      <c r="CT78" s="33"/>
      <c r="CU78" s="73"/>
    </row>
    <row r="79" spans="32:99" ht="17.25"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73"/>
      <c r="AZ79" s="33"/>
      <c r="BA79" s="36"/>
      <c r="BB79" s="36"/>
      <c r="BC79" s="36"/>
      <c r="BD79" s="34" t="s">
        <v>846</v>
      </c>
      <c r="BE79" s="35" t="s">
        <v>190</v>
      </c>
      <c r="BF79" s="59" t="s">
        <v>443</v>
      </c>
      <c r="BG79" s="33"/>
      <c r="BH79" s="33"/>
      <c r="BI79" s="33"/>
      <c r="BJ79" s="73"/>
      <c r="BK79" s="33"/>
      <c r="BL79" s="33"/>
      <c r="BM79" s="73"/>
      <c r="BN79" s="33"/>
      <c r="BO79" s="33"/>
      <c r="BP79" s="33"/>
      <c r="BQ79" s="73"/>
      <c r="BR79" s="33"/>
      <c r="BS79" s="33"/>
      <c r="BT79" s="73"/>
      <c r="BU79" s="33"/>
      <c r="BV79" s="33"/>
      <c r="BW79" s="33"/>
      <c r="BX79" s="73"/>
      <c r="BY79" s="33"/>
      <c r="BZ79" s="33"/>
      <c r="CA79" s="73"/>
      <c r="CB79" s="33"/>
      <c r="CC79" s="33"/>
      <c r="CD79" s="33"/>
      <c r="CE79" s="33"/>
      <c r="CF79" s="33"/>
      <c r="CG79" s="33"/>
      <c r="CH79" s="73"/>
      <c r="CI79" s="33"/>
      <c r="CJ79" s="33"/>
      <c r="CK79" s="73"/>
      <c r="CL79" s="33"/>
      <c r="CO79" s="33"/>
      <c r="CP79" s="33"/>
      <c r="CQ79" s="33"/>
      <c r="CR79" s="73"/>
      <c r="CS79" s="33"/>
      <c r="CT79" s="33"/>
      <c r="CU79" s="73"/>
    </row>
    <row r="80" spans="32:99" ht="17.25"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73"/>
      <c r="AZ80" s="33"/>
      <c r="BA80" s="36"/>
      <c r="BB80" s="36"/>
      <c r="BC80" s="36"/>
      <c r="BD80" s="34" t="s">
        <v>847</v>
      </c>
      <c r="BE80" s="35" t="s">
        <v>137</v>
      </c>
      <c r="BF80" s="56" t="s">
        <v>444</v>
      </c>
      <c r="BG80" s="33"/>
      <c r="BH80" s="33"/>
      <c r="BI80" s="33"/>
      <c r="BJ80" s="73"/>
      <c r="BK80" s="33"/>
      <c r="BL80" s="33"/>
      <c r="BM80" s="73"/>
      <c r="BN80" s="33"/>
      <c r="BO80" s="33"/>
      <c r="BP80" s="33"/>
      <c r="BQ80" s="73"/>
      <c r="BR80" s="33"/>
      <c r="BS80" s="33"/>
      <c r="BT80" s="73"/>
      <c r="BU80" s="33"/>
      <c r="BV80" s="33"/>
      <c r="BW80" s="33"/>
      <c r="BX80" s="73"/>
      <c r="BY80" s="33"/>
      <c r="BZ80" s="33"/>
      <c r="CA80" s="73"/>
      <c r="CB80" s="33"/>
      <c r="CC80" s="33"/>
      <c r="CD80" s="33"/>
      <c r="CE80" s="33"/>
      <c r="CF80" s="33"/>
      <c r="CG80" s="33"/>
      <c r="CH80" s="73"/>
      <c r="CI80" s="33"/>
      <c r="CJ80" s="33"/>
      <c r="CK80" s="73"/>
      <c r="CL80" s="33"/>
      <c r="CO80" s="33"/>
      <c r="CP80" s="33"/>
      <c r="CQ80" s="33"/>
      <c r="CR80" s="73"/>
      <c r="CS80" s="33"/>
      <c r="CT80" s="33"/>
      <c r="CU80" s="73"/>
    </row>
    <row r="81" spans="32:99" ht="17.25"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73"/>
      <c r="AZ81" s="33"/>
      <c r="BA81" s="36"/>
      <c r="BB81" s="36"/>
      <c r="BC81" s="36"/>
      <c r="BD81" s="34" t="s">
        <v>848</v>
      </c>
      <c r="BE81" s="35" t="s">
        <v>136</v>
      </c>
      <c r="BF81" s="56" t="s">
        <v>444</v>
      </c>
      <c r="BG81" s="33"/>
      <c r="BH81" s="33"/>
      <c r="BI81" s="33"/>
      <c r="BJ81" s="73"/>
      <c r="BK81" s="33"/>
      <c r="BL81" s="33"/>
      <c r="BM81" s="73"/>
      <c r="BN81" s="33"/>
      <c r="BO81" s="33"/>
      <c r="BP81" s="33"/>
      <c r="BQ81" s="73"/>
      <c r="BR81" s="33"/>
      <c r="BS81" s="33"/>
      <c r="BT81" s="73"/>
      <c r="BU81" s="33"/>
      <c r="BV81" s="33"/>
      <c r="BW81" s="33"/>
      <c r="BX81" s="73"/>
      <c r="BY81" s="33"/>
      <c r="BZ81" s="33"/>
      <c r="CA81" s="73"/>
      <c r="CB81" s="33"/>
      <c r="CC81" s="33"/>
      <c r="CD81" s="33"/>
      <c r="CE81" s="33"/>
      <c r="CF81" s="33"/>
      <c r="CG81" s="33"/>
      <c r="CH81" s="73"/>
      <c r="CI81" s="33"/>
      <c r="CJ81" s="33"/>
      <c r="CK81" s="73"/>
      <c r="CL81" s="33"/>
      <c r="CO81" s="33"/>
      <c r="CP81" s="33"/>
      <c r="CQ81" s="33"/>
      <c r="CR81" s="73"/>
      <c r="CS81" s="33"/>
      <c r="CT81" s="33"/>
      <c r="CU81" s="73"/>
    </row>
    <row r="82" spans="32:99" ht="17.25"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73"/>
      <c r="AZ82" s="33"/>
      <c r="BA82" s="36"/>
      <c r="BB82" s="36"/>
      <c r="BC82" s="36"/>
      <c r="BD82" s="34" t="s">
        <v>849</v>
      </c>
      <c r="BE82" s="35" t="s">
        <v>199</v>
      </c>
      <c r="BF82" s="59" t="s">
        <v>443</v>
      </c>
      <c r="BG82" s="33"/>
      <c r="BH82" s="33"/>
      <c r="BI82" s="33"/>
      <c r="BJ82" s="73"/>
      <c r="BK82" s="33"/>
      <c r="BL82" s="33"/>
      <c r="BM82" s="73"/>
      <c r="BN82" s="33"/>
      <c r="BO82" s="33"/>
      <c r="BP82" s="33"/>
      <c r="BQ82" s="73"/>
      <c r="BR82" s="33"/>
      <c r="BS82" s="33"/>
      <c r="BT82" s="73"/>
      <c r="BU82" s="33"/>
      <c r="BV82" s="33"/>
      <c r="BW82" s="33"/>
      <c r="BX82" s="73"/>
      <c r="BY82" s="33"/>
      <c r="BZ82" s="33"/>
      <c r="CA82" s="73"/>
      <c r="CB82" s="33"/>
      <c r="CC82" s="33"/>
      <c r="CD82" s="33"/>
      <c r="CE82" s="33"/>
      <c r="CF82" s="33"/>
      <c r="CG82" s="33"/>
      <c r="CH82" s="73"/>
      <c r="CI82" s="33"/>
      <c r="CJ82" s="33"/>
      <c r="CK82" s="73"/>
      <c r="CL82" s="33"/>
      <c r="CO82" s="33"/>
      <c r="CP82" s="33"/>
      <c r="CQ82" s="33"/>
      <c r="CR82" s="73"/>
      <c r="CS82" s="33"/>
      <c r="CT82" s="33"/>
      <c r="CU82" s="73"/>
    </row>
    <row r="83" spans="32:99" ht="17.25"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73"/>
      <c r="AZ83" s="33"/>
      <c r="BA83" s="36"/>
      <c r="BB83" s="36"/>
      <c r="BC83" s="36"/>
      <c r="BD83" s="34" t="s">
        <v>850</v>
      </c>
      <c r="BE83" s="35" t="s">
        <v>180</v>
      </c>
      <c r="BF83" s="54" t="s">
        <v>8</v>
      </c>
      <c r="BG83" s="33"/>
      <c r="BH83" s="33"/>
      <c r="BI83" s="33"/>
      <c r="BJ83" s="73"/>
      <c r="BK83" s="33"/>
      <c r="BL83" s="33"/>
      <c r="BM83" s="73"/>
      <c r="BN83" s="33"/>
      <c r="BO83" s="33"/>
      <c r="BP83" s="33"/>
      <c r="BQ83" s="73"/>
      <c r="BR83" s="33"/>
      <c r="BS83" s="33"/>
      <c r="BT83" s="73"/>
      <c r="BU83" s="33"/>
      <c r="BV83" s="33"/>
      <c r="BW83" s="33"/>
      <c r="BX83" s="73"/>
      <c r="BY83" s="33"/>
      <c r="BZ83" s="33"/>
      <c r="CA83" s="73"/>
      <c r="CB83" s="33"/>
      <c r="CC83" s="33"/>
      <c r="CD83" s="33"/>
      <c r="CE83" s="33"/>
      <c r="CF83" s="33"/>
      <c r="CG83" s="33"/>
      <c r="CH83" s="73"/>
      <c r="CI83" s="33"/>
      <c r="CJ83" s="33"/>
      <c r="CK83" s="73"/>
      <c r="CL83" s="33"/>
      <c r="CO83" s="33"/>
      <c r="CP83" s="33"/>
      <c r="CQ83" s="33"/>
      <c r="CR83" s="73"/>
      <c r="CS83" s="33"/>
      <c r="CT83" s="33"/>
      <c r="CU83" s="73"/>
    </row>
    <row r="84" spans="32:99" ht="17.25"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Z84" s="33"/>
      <c r="BA84" s="242">
        <f>COUNTA(BB10)</f>
        <v>1</v>
      </c>
      <c r="BB84" s="242"/>
      <c r="BC84" s="242"/>
      <c r="BD84" s="33"/>
      <c r="BE84" s="33"/>
      <c r="BF84" s="73"/>
      <c r="BG84" s="33"/>
      <c r="BH84" s="33"/>
      <c r="BI84" s="33"/>
      <c r="BJ84" s="73"/>
      <c r="BK84" s="33"/>
      <c r="BL84" s="33"/>
      <c r="BM84" s="73"/>
      <c r="BN84" s="33"/>
      <c r="BO84" s="33"/>
      <c r="BP84" s="33"/>
      <c r="BQ84" s="73"/>
      <c r="BR84" s="33"/>
      <c r="BS84" s="33"/>
      <c r="BT84" s="73"/>
      <c r="BU84" s="33"/>
      <c r="BV84" s="33"/>
      <c r="BW84" s="33"/>
      <c r="BX84" s="73"/>
      <c r="BY84" s="33"/>
      <c r="BZ84" s="33"/>
      <c r="CA84" s="73"/>
      <c r="CB84" s="33"/>
      <c r="CC84" s="33"/>
      <c r="CD84" s="33"/>
      <c r="CE84" s="33"/>
      <c r="CF84" s="33"/>
      <c r="CG84" s="33"/>
      <c r="CH84" s="73"/>
      <c r="CI84" s="33"/>
      <c r="CJ84" s="33"/>
      <c r="CK84" s="73"/>
      <c r="CP84" s="33"/>
      <c r="CQ84" s="33"/>
      <c r="CR84" s="73"/>
      <c r="CS84" s="33"/>
      <c r="CT84" s="33"/>
      <c r="CU84" s="73"/>
    </row>
    <row r="85" spans="32:99" ht="17.25">
      <c r="AL85" s="33"/>
      <c r="AS85" s="33"/>
      <c r="CQ85" s="33"/>
      <c r="CR85" s="73"/>
      <c r="CS85" s="33"/>
      <c r="CT85" s="33"/>
      <c r="CU85" s="73"/>
    </row>
    <row r="86" spans="32:99" ht="17.25">
      <c r="CQ86" s="33"/>
      <c r="CR86" s="73"/>
    </row>
  </sheetData>
  <autoFilter ref="CP9:CU9" xr:uid="{00000000-0009-0000-0000-000001000000}"/>
  <mergeCells count="69">
    <mergeCell ref="CS8:CU8"/>
    <mergeCell ref="CP8:CR8"/>
    <mergeCell ref="CL8:CN8"/>
    <mergeCell ref="CI8:CK8"/>
    <mergeCell ref="CI7:CN7"/>
    <mergeCell ref="CQ1:CR1"/>
    <mergeCell ref="CT1:CU1"/>
    <mergeCell ref="Z1:AA1"/>
    <mergeCell ref="AC1:AD1"/>
    <mergeCell ref="Y7:AD7"/>
    <mergeCell ref="CP7:CU7"/>
    <mergeCell ref="BA1:BB1"/>
    <mergeCell ref="BE1:BF1"/>
    <mergeCell ref="BA7:BF7"/>
    <mergeCell ref="CJ1:CK1"/>
    <mergeCell ref="CM1:CN1"/>
    <mergeCell ref="CG1:CH1"/>
    <mergeCell ref="CD1:CE1"/>
    <mergeCell ref="BH7:BM7"/>
    <mergeCell ref="BO7:BT7"/>
    <mergeCell ref="BV7:CA7"/>
    <mergeCell ref="AI52:AK52"/>
    <mergeCell ref="AM42:AO42"/>
    <mergeCell ref="S1:T1"/>
    <mergeCell ref="V1:W1"/>
    <mergeCell ref="R7:W7"/>
    <mergeCell ref="R8:T8"/>
    <mergeCell ref="U8:W8"/>
    <mergeCell ref="U15:W15"/>
    <mergeCell ref="AB25:AD25"/>
    <mergeCell ref="Y8:AA8"/>
    <mergeCell ref="AB8:AD8"/>
    <mergeCell ref="AG1:AH1"/>
    <mergeCell ref="AT70:AV70"/>
    <mergeCell ref="BA84:BC84"/>
    <mergeCell ref="CC8:CE8"/>
    <mergeCell ref="CF8:CH8"/>
    <mergeCell ref="BH8:BJ8"/>
    <mergeCell ref="BK8:BM8"/>
    <mergeCell ref="BO8:BQ8"/>
    <mergeCell ref="BR8:BT8"/>
    <mergeCell ref="BV8:BX8"/>
    <mergeCell ref="BY8:CA8"/>
    <mergeCell ref="BA8:BC8"/>
    <mergeCell ref="BD8:BF8"/>
    <mergeCell ref="AW8:AY8"/>
    <mergeCell ref="AP42:AR42"/>
    <mergeCell ref="AJ1:AK1"/>
    <mergeCell ref="AN1:AO1"/>
    <mergeCell ref="AQ1:AR1"/>
    <mergeCell ref="AX1:AY1"/>
    <mergeCell ref="AU1:AV1"/>
    <mergeCell ref="CC7:CH7"/>
    <mergeCell ref="BZ1:CA1"/>
    <mergeCell ref="BS1:BT1"/>
    <mergeCell ref="BW1:BX1"/>
    <mergeCell ref="BI1:BJ1"/>
    <mergeCell ref="BL1:BM1"/>
    <mergeCell ref="BP1:BQ1"/>
    <mergeCell ref="B4:B9"/>
    <mergeCell ref="B10:B14"/>
    <mergeCell ref="AF7:AK7"/>
    <mergeCell ref="AM7:AR7"/>
    <mergeCell ref="AT7:AY7"/>
    <mergeCell ref="AM8:AO8"/>
    <mergeCell ref="AP8:AR8"/>
    <mergeCell ref="AT8:AV8"/>
    <mergeCell ref="AF8:AH8"/>
    <mergeCell ref="AI8:AK8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I400"/>
  <sheetViews>
    <sheetView topLeftCell="A87" workbookViewId="0">
      <selection activeCell="H4" sqref="H4"/>
    </sheetView>
  </sheetViews>
  <sheetFormatPr defaultRowHeight="16.5"/>
  <cols>
    <col min="1" max="1" width="10.375" style="113" customWidth="1"/>
    <col min="2" max="2" width="15.125" style="114" bestFit="1" customWidth="1"/>
    <col min="3" max="3" width="13.75" style="115" customWidth="1"/>
    <col min="4" max="4" width="9.25" style="115" customWidth="1"/>
    <col min="5" max="5" width="11" style="115" customWidth="1"/>
    <col min="6" max="7" width="25.625" style="115" customWidth="1"/>
    <col min="8" max="8" width="11.625" style="114" bestFit="1" customWidth="1"/>
    <col min="9" max="9" width="9.625" style="114" customWidth="1"/>
  </cols>
  <sheetData>
    <row r="1" spans="1:9" ht="16.5" customHeight="1" thickBot="1"/>
    <row r="2" spans="1:9" ht="30" customHeight="1" thickBot="1">
      <c r="A2" s="117"/>
      <c r="B2" s="118" t="s">
        <v>1205</v>
      </c>
      <c r="C2" s="119"/>
      <c r="D2" s="119"/>
      <c r="E2" s="119"/>
      <c r="F2" s="119"/>
      <c r="G2" s="119"/>
      <c r="H2" s="119"/>
      <c r="I2" s="119"/>
    </row>
    <row r="4" spans="1:9" ht="16.5" customHeight="1">
      <c r="A4" s="120" t="s">
        <v>1206</v>
      </c>
      <c r="B4" s="121" t="s">
        <v>1207</v>
      </c>
      <c r="C4" s="120" t="s">
        <v>1208</v>
      </c>
      <c r="D4" s="120" t="s">
        <v>1209</v>
      </c>
      <c r="E4" s="120" t="s">
        <v>1210</v>
      </c>
      <c r="F4" s="122" t="s">
        <v>1211</v>
      </c>
      <c r="G4" s="120" t="s">
        <v>1212</v>
      </c>
      <c r="H4" s="123" t="s">
        <v>1213</v>
      </c>
      <c r="I4" s="123" t="s">
        <v>1214</v>
      </c>
    </row>
    <row r="5" spans="1:9" ht="16.5" customHeight="1" thickBot="1">
      <c r="A5" s="124" t="s">
        <v>1215</v>
      </c>
      <c r="B5" s="125"/>
      <c r="C5" s="126"/>
      <c r="D5" s="126"/>
      <c r="E5" s="126" t="s">
        <v>6</v>
      </c>
      <c r="F5" s="127" t="s">
        <v>1216</v>
      </c>
      <c r="G5" s="127"/>
      <c r="H5" s="129" t="s">
        <v>1217</v>
      </c>
      <c r="I5" s="129" t="s">
        <v>1218</v>
      </c>
    </row>
    <row r="6" spans="1:9" ht="16.5" customHeight="1" thickBot="1">
      <c r="A6" s="124" t="s">
        <v>1219</v>
      </c>
      <c r="B6" s="130" t="s">
        <v>1220</v>
      </c>
      <c r="C6" s="131" t="s">
        <v>1221</v>
      </c>
      <c r="D6" s="131"/>
      <c r="E6" s="131" t="s">
        <v>445</v>
      </c>
      <c r="F6" s="131" t="s">
        <v>1222</v>
      </c>
      <c r="G6" s="131" t="s">
        <v>1223</v>
      </c>
      <c r="H6" s="133" t="s">
        <v>1224</v>
      </c>
      <c r="I6" s="133" t="s">
        <v>1225</v>
      </c>
    </row>
    <row r="7" spans="1:9" ht="16.5" customHeight="1">
      <c r="A7" s="124" t="s">
        <v>1226</v>
      </c>
      <c r="B7" s="134"/>
      <c r="C7" s="135"/>
      <c r="D7" s="135"/>
      <c r="E7" s="135" t="s">
        <v>1227</v>
      </c>
      <c r="F7" s="136" t="s">
        <v>1228</v>
      </c>
      <c r="G7" s="136" t="s">
        <v>1229</v>
      </c>
      <c r="H7" s="138" t="s">
        <v>1230</v>
      </c>
      <c r="I7" s="134" t="s">
        <v>1231</v>
      </c>
    </row>
    <row r="8" spans="1:9" s="140" customFormat="1" ht="16.5" customHeight="1" thickBot="1">
      <c r="A8" s="124" t="s">
        <v>1232</v>
      </c>
      <c r="B8" s="139"/>
      <c r="C8" s="127"/>
      <c r="D8" s="127"/>
      <c r="E8" s="127" t="s">
        <v>1233</v>
      </c>
      <c r="F8" s="127" t="s">
        <v>1234</v>
      </c>
      <c r="G8" s="127" t="s">
        <v>1235</v>
      </c>
      <c r="H8" s="139" t="s">
        <v>1236</v>
      </c>
      <c r="I8" s="139" t="s">
        <v>1237</v>
      </c>
    </row>
    <row r="9" spans="1:9" ht="16.5" customHeight="1" thickBot="1">
      <c r="A9" s="124" t="s">
        <v>1232</v>
      </c>
      <c r="B9" s="130" t="s">
        <v>1238</v>
      </c>
      <c r="C9" s="131" t="s">
        <v>1239</v>
      </c>
      <c r="D9" s="131"/>
      <c r="E9" s="131" t="s">
        <v>1240</v>
      </c>
      <c r="F9" s="131" t="s">
        <v>1241</v>
      </c>
      <c r="G9" s="131" t="s">
        <v>1242</v>
      </c>
      <c r="H9" s="133" t="s">
        <v>1243</v>
      </c>
      <c r="I9" s="133" t="s">
        <v>1244</v>
      </c>
    </row>
    <row r="10" spans="1:9" ht="16.5" customHeight="1">
      <c r="A10" s="124" t="s">
        <v>1232</v>
      </c>
      <c r="B10" s="134"/>
      <c r="C10" s="135"/>
      <c r="D10" s="135"/>
      <c r="E10" s="135" t="s">
        <v>1240</v>
      </c>
      <c r="F10" s="136" t="s">
        <v>1245</v>
      </c>
      <c r="G10" s="136" t="s">
        <v>1246</v>
      </c>
      <c r="H10" s="134" t="s">
        <v>1243</v>
      </c>
      <c r="I10" s="134" t="s">
        <v>1244</v>
      </c>
    </row>
    <row r="11" spans="1:9" ht="16.5" customHeight="1">
      <c r="A11" s="124" t="s">
        <v>1219</v>
      </c>
      <c r="B11" s="141"/>
      <c r="C11" s="142"/>
      <c r="D11" s="142"/>
      <c r="E11" s="142" t="s">
        <v>1240</v>
      </c>
      <c r="F11" s="124" t="s">
        <v>1247</v>
      </c>
      <c r="G11" s="124" t="s">
        <v>1248</v>
      </c>
      <c r="H11" s="141" t="s">
        <v>1249</v>
      </c>
      <c r="I11" s="141" t="s">
        <v>1250</v>
      </c>
    </row>
    <row r="12" spans="1:9" ht="16.5" customHeight="1">
      <c r="A12" s="124" t="s">
        <v>1226</v>
      </c>
      <c r="B12" s="141"/>
      <c r="C12" s="142"/>
      <c r="D12" s="142"/>
      <c r="E12" s="142" t="s">
        <v>1240</v>
      </c>
      <c r="F12" s="124" t="s">
        <v>89</v>
      </c>
      <c r="G12" s="124" t="s">
        <v>1251</v>
      </c>
      <c r="H12" s="141" t="s">
        <v>1252</v>
      </c>
      <c r="I12" s="141" t="s">
        <v>1253</v>
      </c>
    </row>
    <row r="13" spans="1:9" ht="16.5" customHeight="1">
      <c r="A13" s="124" t="s">
        <v>1254</v>
      </c>
      <c r="B13" s="141"/>
      <c r="C13" s="142"/>
      <c r="D13" s="142"/>
      <c r="E13" s="142" t="s">
        <v>6</v>
      </c>
      <c r="F13" s="124" t="s">
        <v>170</v>
      </c>
      <c r="G13" s="124"/>
      <c r="H13" s="141" t="s">
        <v>1255</v>
      </c>
      <c r="I13" s="141" t="s">
        <v>1256</v>
      </c>
    </row>
    <row r="14" spans="1:9" ht="16.5" customHeight="1">
      <c r="A14" s="124" t="s">
        <v>1257</v>
      </c>
      <c r="B14" s="141"/>
      <c r="C14" s="142"/>
      <c r="D14" s="142"/>
      <c r="E14" s="142" t="s">
        <v>1240</v>
      </c>
      <c r="F14" s="124" t="s">
        <v>86</v>
      </c>
      <c r="G14" s="124" t="s">
        <v>1258</v>
      </c>
      <c r="H14" s="141" t="s">
        <v>1259</v>
      </c>
      <c r="I14" s="141" t="s">
        <v>1260</v>
      </c>
    </row>
    <row r="15" spans="1:9" ht="16.5" customHeight="1">
      <c r="A15" s="124" t="s">
        <v>1215</v>
      </c>
      <c r="B15" s="141"/>
      <c r="C15" s="142"/>
      <c r="D15" s="142"/>
      <c r="E15" s="142" t="s">
        <v>1261</v>
      </c>
      <c r="F15" s="124" t="s">
        <v>1262</v>
      </c>
      <c r="G15" s="144" t="s">
        <v>1263</v>
      </c>
      <c r="H15" s="141" t="s">
        <v>1264</v>
      </c>
      <c r="I15" s="141" t="s">
        <v>1265</v>
      </c>
    </row>
    <row r="16" spans="1:9" ht="16.5" customHeight="1">
      <c r="A16" s="124" t="s">
        <v>1215</v>
      </c>
      <c r="B16" s="141"/>
      <c r="C16" s="142"/>
      <c r="D16" s="142"/>
      <c r="E16" s="142" t="s">
        <v>1240</v>
      </c>
      <c r="F16" s="124" t="s">
        <v>149</v>
      </c>
      <c r="G16" s="124" t="s">
        <v>1159</v>
      </c>
      <c r="H16" s="141" t="s">
        <v>1266</v>
      </c>
      <c r="I16" s="141" t="s">
        <v>1267</v>
      </c>
    </row>
    <row r="17" spans="1:9" ht="16.5" customHeight="1">
      <c r="A17" s="124" t="s">
        <v>1226</v>
      </c>
      <c r="B17" s="141"/>
      <c r="C17" s="142"/>
      <c r="D17" s="142"/>
      <c r="E17" s="142" t="s">
        <v>1233</v>
      </c>
      <c r="F17" s="124" t="s">
        <v>1268</v>
      </c>
      <c r="G17" s="124" t="s">
        <v>1269</v>
      </c>
      <c r="H17" s="141" t="s">
        <v>1270</v>
      </c>
      <c r="I17" s="141" t="s">
        <v>1271</v>
      </c>
    </row>
    <row r="18" spans="1:9" ht="16.5" customHeight="1">
      <c r="A18" s="124" t="s">
        <v>1215</v>
      </c>
      <c r="B18" s="141"/>
      <c r="C18" s="142"/>
      <c r="D18" s="142"/>
      <c r="E18" s="142" t="s">
        <v>1240</v>
      </c>
      <c r="F18" s="124" t="s">
        <v>1272</v>
      </c>
      <c r="G18" s="124" t="s">
        <v>1273</v>
      </c>
      <c r="H18" s="141" t="s">
        <v>1274</v>
      </c>
      <c r="I18" s="141" t="s">
        <v>1275</v>
      </c>
    </row>
    <row r="19" spans="1:9" ht="16.5" customHeight="1">
      <c r="A19" s="124" t="s">
        <v>1257</v>
      </c>
      <c r="B19" s="141"/>
      <c r="C19" s="142"/>
      <c r="D19" s="142"/>
      <c r="E19" s="142" t="s">
        <v>1240</v>
      </c>
      <c r="F19" s="124" t="s">
        <v>61</v>
      </c>
      <c r="G19" s="124" t="s">
        <v>1276</v>
      </c>
      <c r="H19" s="141" t="s">
        <v>1277</v>
      </c>
      <c r="I19" s="141" t="s">
        <v>1278</v>
      </c>
    </row>
    <row r="20" spans="1:9" ht="16.5" customHeight="1">
      <c r="A20" s="124" t="s">
        <v>1219</v>
      </c>
      <c r="B20" s="129"/>
      <c r="C20" s="126"/>
      <c r="D20" s="126"/>
      <c r="E20" s="126" t="s">
        <v>1233</v>
      </c>
      <c r="F20" s="127" t="s">
        <v>172</v>
      </c>
      <c r="G20" s="145" t="s">
        <v>1279</v>
      </c>
      <c r="H20" s="129" t="s">
        <v>1280</v>
      </c>
      <c r="I20" s="129" t="s">
        <v>1281</v>
      </c>
    </row>
    <row r="21" spans="1:9" ht="16.5" customHeight="1">
      <c r="A21" s="124" t="s">
        <v>1219</v>
      </c>
      <c r="B21" s="134"/>
      <c r="C21" s="135"/>
      <c r="D21" s="135"/>
      <c r="E21" s="136" t="s">
        <v>1282</v>
      </c>
      <c r="F21" s="136" t="s">
        <v>31</v>
      </c>
      <c r="G21" s="136" t="s">
        <v>1283</v>
      </c>
      <c r="H21" s="134" t="s">
        <v>1284</v>
      </c>
      <c r="I21" s="134" t="s">
        <v>1256</v>
      </c>
    </row>
    <row r="22" spans="1:9" ht="16.5" customHeight="1">
      <c r="A22" s="124" t="s">
        <v>1257</v>
      </c>
      <c r="B22" s="141"/>
      <c r="C22" s="142"/>
      <c r="D22" s="142"/>
      <c r="E22" s="142" t="s">
        <v>1240</v>
      </c>
      <c r="F22" s="124" t="s">
        <v>171</v>
      </c>
      <c r="G22" s="124" t="s">
        <v>1285</v>
      </c>
      <c r="H22" s="141" t="s">
        <v>1286</v>
      </c>
      <c r="I22" s="141" t="s">
        <v>1287</v>
      </c>
    </row>
    <row r="23" spans="1:9" ht="16.5" customHeight="1">
      <c r="A23" s="124" t="s">
        <v>1232</v>
      </c>
      <c r="B23" s="141"/>
      <c r="C23" s="142"/>
      <c r="D23" s="142"/>
      <c r="E23" s="136" t="s">
        <v>1282</v>
      </c>
      <c r="F23" s="124" t="s">
        <v>70</v>
      </c>
      <c r="G23" s="124" t="s">
        <v>1288</v>
      </c>
      <c r="H23" s="141" t="s">
        <v>1289</v>
      </c>
      <c r="I23" s="141" t="s">
        <v>1290</v>
      </c>
    </row>
    <row r="24" spans="1:9" ht="16.5" customHeight="1" thickBot="1">
      <c r="A24" s="124" t="s">
        <v>1215</v>
      </c>
      <c r="B24" s="129"/>
      <c r="C24" s="126"/>
      <c r="D24" s="126"/>
      <c r="E24" s="126" t="s">
        <v>1240</v>
      </c>
      <c r="F24" s="127" t="s">
        <v>56</v>
      </c>
      <c r="G24" s="127" t="s">
        <v>1291</v>
      </c>
      <c r="H24" s="129" t="s">
        <v>1292</v>
      </c>
      <c r="I24" s="129" t="s">
        <v>1293</v>
      </c>
    </row>
    <row r="25" spans="1:9" ht="16.5" customHeight="1" thickBot="1">
      <c r="A25" s="124" t="s">
        <v>1219</v>
      </c>
      <c r="B25" s="130" t="s">
        <v>1294</v>
      </c>
      <c r="C25" s="131" t="s">
        <v>1295</v>
      </c>
      <c r="D25" s="131"/>
      <c r="E25" s="131" t="s">
        <v>1240</v>
      </c>
      <c r="F25" s="131" t="s">
        <v>127</v>
      </c>
      <c r="G25" s="131" t="s">
        <v>1296</v>
      </c>
      <c r="H25" s="133" t="s">
        <v>1297</v>
      </c>
      <c r="I25" s="133" t="s">
        <v>1298</v>
      </c>
    </row>
    <row r="26" spans="1:9" ht="16.5" customHeight="1" thickBot="1">
      <c r="A26" s="124" t="s">
        <v>1257</v>
      </c>
      <c r="B26" s="146" t="s">
        <v>1299</v>
      </c>
      <c r="C26" s="147" t="s">
        <v>1300</v>
      </c>
      <c r="D26" s="147"/>
      <c r="E26" s="147" t="s">
        <v>445</v>
      </c>
      <c r="F26" s="147" t="s">
        <v>22</v>
      </c>
      <c r="G26" s="147" t="s">
        <v>1301</v>
      </c>
      <c r="H26" s="149" t="s">
        <v>1302</v>
      </c>
      <c r="I26" s="149" t="s">
        <v>1303</v>
      </c>
    </row>
    <row r="27" spans="1:9" ht="16.5" customHeight="1">
      <c r="A27" s="124" t="s">
        <v>1219</v>
      </c>
      <c r="B27" s="141"/>
      <c r="C27" s="142"/>
      <c r="D27" s="142"/>
      <c r="E27" s="142" t="s">
        <v>1240</v>
      </c>
      <c r="F27" s="124" t="s">
        <v>197</v>
      </c>
      <c r="G27" s="124" t="s">
        <v>1304</v>
      </c>
      <c r="H27" s="141" t="s">
        <v>1305</v>
      </c>
      <c r="I27" s="141" t="s">
        <v>1306</v>
      </c>
    </row>
    <row r="28" spans="1:9" ht="16.5" customHeight="1">
      <c r="A28" s="124" t="s">
        <v>1226</v>
      </c>
      <c r="B28" s="151"/>
      <c r="C28" s="124"/>
      <c r="D28" s="124"/>
      <c r="E28" s="142" t="s">
        <v>1240</v>
      </c>
      <c r="F28" s="124" t="s">
        <v>54</v>
      </c>
      <c r="G28" s="124" t="s">
        <v>1307</v>
      </c>
      <c r="H28" s="141" t="s">
        <v>1308</v>
      </c>
      <c r="I28" s="141" t="s">
        <v>1309</v>
      </c>
    </row>
    <row r="29" spans="1:9" ht="16.5" customHeight="1">
      <c r="A29" s="124" t="s">
        <v>1257</v>
      </c>
      <c r="B29" s="141"/>
      <c r="C29" s="142"/>
      <c r="D29" s="142"/>
      <c r="E29" s="142" t="s">
        <v>1240</v>
      </c>
      <c r="F29" s="124" t="s">
        <v>181</v>
      </c>
      <c r="G29" s="124" t="s">
        <v>1310</v>
      </c>
      <c r="H29" s="141" t="s">
        <v>1311</v>
      </c>
      <c r="I29" s="141" t="s">
        <v>1312</v>
      </c>
    </row>
    <row r="30" spans="1:9" ht="16.5" customHeight="1" thickBot="1">
      <c r="A30" s="124" t="s">
        <v>1215</v>
      </c>
      <c r="B30" s="129"/>
      <c r="C30" s="126"/>
      <c r="D30" s="126"/>
      <c r="E30" s="126" t="s">
        <v>1240</v>
      </c>
      <c r="F30" s="127" t="s">
        <v>135</v>
      </c>
      <c r="G30" s="127" t="s">
        <v>1313</v>
      </c>
      <c r="H30" s="129" t="s">
        <v>1314</v>
      </c>
      <c r="I30" s="129" t="s">
        <v>1315</v>
      </c>
    </row>
    <row r="31" spans="1:9" ht="15.75" customHeight="1" thickBot="1">
      <c r="A31" s="124" t="s">
        <v>1257</v>
      </c>
      <c r="B31" s="130" t="s">
        <v>1316</v>
      </c>
      <c r="C31" s="131" t="s">
        <v>1317</v>
      </c>
      <c r="D31" s="131"/>
      <c r="E31" s="131" t="s">
        <v>6</v>
      </c>
      <c r="F31" s="131" t="s">
        <v>99</v>
      </c>
      <c r="G31" s="131"/>
      <c r="H31" s="133" t="s">
        <v>1318</v>
      </c>
      <c r="I31" s="133" t="s">
        <v>1319</v>
      </c>
    </row>
    <row r="32" spans="1:9" ht="16.5" customHeight="1" thickBot="1">
      <c r="A32" s="124" t="s">
        <v>1219</v>
      </c>
      <c r="B32" s="152" t="s">
        <v>1320</v>
      </c>
      <c r="C32" s="153" t="s">
        <v>1321</v>
      </c>
      <c r="D32" s="153"/>
      <c r="E32" s="153" t="s">
        <v>1261</v>
      </c>
      <c r="F32" s="153" t="s">
        <v>65</v>
      </c>
      <c r="G32" s="153" t="s">
        <v>1322</v>
      </c>
      <c r="H32" s="154" t="s">
        <v>1323</v>
      </c>
      <c r="I32" s="154" t="s">
        <v>1324</v>
      </c>
    </row>
    <row r="33" spans="1:9" ht="16.5" customHeight="1" thickBot="1">
      <c r="A33" s="124" t="s">
        <v>1219</v>
      </c>
      <c r="B33" s="130" t="s">
        <v>1325</v>
      </c>
      <c r="C33" s="131" t="s">
        <v>1321</v>
      </c>
      <c r="D33" s="131"/>
      <c r="E33" s="131" t="s">
        <v>1240</v>
      </c>
      <c r="F33" s="131" t="s">
        <v>192</v>
      </c>
      <c r="G33" s="131" t="s">
        <v>1326</v>
      </c>
      <c r="H33" s="133" t="s">
        <v>1327</v>
      </c>
      <c r="I33" s="133" t="s">
        <v>1328</v>
      </c>
    </row>
    <row r="34" spans="1:9" ht="16.5" customHeight="1" thickBot="1">
      <c r="A34" s="124" t="s">
        <v>1254</v>
      </c>
      <c r="B34" s="155"/>
      <c r="C34" s="156"/>
      <c r="D34" s="156"/>
      <c r="E34" s="156" t="s">
        <v>1240</v>
      </c>
      <c r="F34" s="157" t="s">
        <v>142</v>
      </c>
      <c r="G34" s="157" t="s">
        <v>1329</v>
      </c>
      <c r="H34" s="158" t="s">
        <v>1330</v>
      </c>
      <c r="I34" s="155" t="s">
        <v>1331</v>
      </c>
    </row>
    <row r="35" spans="1:9" ht="17.25" thickBot="1">
      <c r="A35" s="159" t="s">
        <v>1254</v>
      </c>
      <c r="B35" s="130" t="s">
        <v>1332</v>
      </c>
      <c r="C35" s="131" t="s">
        <v>1333</v>
      </c>
      <c r="D35" s="131"/>
      <c r="E35" s="131" t="s">
        <v>1335</v>
      </c>
      <c r="F35" s="131" t="s">
        <v>1336</v>
      </c>
      <c r="G35" s="131"/>
      <c r="H35" s="160" t="s">
        <v>1337</v>
      </c>
      <c r="I35" s="133" t="s">
        <v>1338</v>
      </c>
    </row>
    <row r="36" spans="1:9" ht="16.5" customHeight="1">
      <c r="A36" s="124" t="s">
        <v>1254</v>
      </c>
      <c r="B36" s="134"/>
      <c r="C36" s="135"/>
      <c r="D36" s="135"/>
      <c r="E36" s="135" t="s">
        <v>1261</v>
      </c>
      <c r="F36" s="136" t="s">
        <v>167</v>
      </c>
      <c r="G36" s="136" t="s">
        <v>1339</v>
      </c>
      <c r="H36" s="161" t="s">
        <v>1337</v>
      </c>
      <c r="I36" s="134" t="s">
        <v>1338</v>
      </c>
    </row>
    <row r="37" spans="1:9" ht="16.5" customHeight="1">
      <c r="A37" s="124" t="s">
        <v>1257</v>
      </c>
      <c r="B37" s="141"/>
      <c r="C37" s="142"/>
      <c r="D37" s="142"/>
      <c r="E37" s="142" t="s">
        <v>1240</v>
      </c>
      <c r="F37" s="124" t="s">
        <v>151</v>
      </c>
      <c r="G37" s="124" t="s">
        <v>1340</v>
      </c>
      <c r="H37" s="141" t="s">
        <v>1337</v>
      </c>
      <c r="I37" s="141" t="s">
        <v>1338</v>
      </c>
    </row>
    <row r="38" spans="1:9" ht="16.5" customHeight="1">
      <c r="A38" s="124" t="s">
        <v>1232</v>
      </c>
      <c r="B38" s="129"/>
      <c r="C38" s="126"/>
      <c r="D38" s="126"/>
      <c r="E38" s="126" t="s">
        <v>1240</v>
      </c>
      <c r="F38" s="127" t="s">
        <v>101</v>
      </c>
      <c r="G38" s="127" t="s">
        <v>1341</v>
      </c>
      <c r="H38" s="129" t="s">
        <v>1342</v>
      </c>
      <c r="I38" s="129" t="s">
        <v>1343</v>
      </c>
    </row>
    <row r="39" spans="1:9" ht="16.5" customHeight="1">
      <c r="A39" s="124" t="s">
        <v>1257</v>
      </c>
      <c r="B39" s="134"/>
      <c r="C39" s="135"/>
      <c r="D39" s="135"/>
      <c r="E39" s="135" t="s">
        <v>1240</v>
      </c>
      <c r="F39" s="136" t="s">
        <v>157</v>
      </c>
      <c r="G39" s="136" t="s">
        <v>1344</v>
      </c>
      <c r="H39" s="134" t="s">
        <v>1345</v>
      </c>
      <c r="I39" s="134" t="s">
        <v>1346</v>
      </c>
    </row>
    <row r="40" spans="1:9" ht="16.5" customHeight="1" thickBot="1">
      <c r="A40" s="124" t="s">
        <v>1219</v>
      </c>
      <c r="B40" s="141"/>
      <c r="C40" s="142"/>
      <c r="D40" s="142"/>
      <c r="E40" s="142" t="s">
        <v>1240</v>
      </c>
      <c r="F40" s="124" t="s">
        <v>108</v>
      </c>
      <c r="G40" s="124" t="s">
        <v>1347</v>
      </c>
      <c r="H40" s="141" t="s">
        <v>1348</v>
      </c>
      <c r="I40" s="141" t="s">
        <v>1349</v>
      </c>
    </row>
    <row r="41" spans="1:9" ht="16.5" customHeight="1" thickBot="1">
      <c r="A41" s="124" t="s">
        <v>1215</v>
      </c>
      <c r="B41" s="130" t="s">
        <v>1350</v>
      </c>
      <c r="C41" s="131" t="s">
        <v>1321</v>
      </c>
      <c r="D41" s="131"/>
      <c r="E41" s="131" t="s">
        <v>1240</v>
      </c>
      <c r="F41" s="131" t="s">
        <v>146</v>
      </c>
      <c r="G41" s="131" t="s">
        <v>1351</v>
      </c>
      <c r="H41" s="133" t="s">
        <v>1352</v>
      </c>
      <c r="I41" s="133" t="s">
        <v>1353</v>
      </c>
    </row>
    <row r="42" spans="1:9" ht="16.5" customHeight="1">
      <c r="A42" s="124" t="s">
        <v>1226</v>
      </c>
      <c r="B42" s="134"/>
      <c r="C42" s="135"/>
      <c r="D42" s="135"/>
      <c r="E42" s="135" t="s">
        <v>5</v>
      </c>
      <c r="F42" s="136" t="s">
        <v>55</v>
      </c>
      <c r="G42" s="136"/>
      <c r="H42" s="134" t="s">
        <v>1354</v>
      </c>
      <c r="I42" s="134" t="s">
        <v>1355</v>
      </c>
    </row>
    <row r="43" spans="1:9" ht="16.5" customHeight="1">
      <c r="A43" s="124" t="s">
        <v>1226</v>
      </c>
      <c r="B43" s="141"/>
      <c r="C43" s="142"/>
      <c r="D43" s="142"/>
      <c r="E43" s="142" t="s">
        <v>5</v>
      </c>
      <c r="F43" s="124" t="s">
        <v>14</v>
      </c>
      <c r="G43" s="124"/>
      <c r="H43" s="141" t="s">
        <v>1356</v>
      </c>
      <c r="I43" s="141" t="s">
        <v>1357</v>
      </c>
    </row>
    <row r="44" spans="1:9" ht="16.5" customHeight="1">
      <c r="A44" s="124" t="s">
        <v>1232</v>
      </c>
      <c r="B44" s="141"/>
      <c r="C44" s="142"/>
      <c r="D44" s="142"/>
      <c r="E44" s="142" t="s">
        <v>1240</v>
      </c>
      <c r="F44" s="124" t="s">
        <v>71</v>
      </c>
      <c r="G44" s="124" t="s">
        <v>1358</v>
      </c>
      <c r="H44" s="141" t="s">
        <v>1359</v>
      </c>
      <c r="I44" s="141" t="s">
        <v>1360</v>
      </c>
    </row>
    <row r="45" spans="1:9" ht="16.5" customHeight="1">
      <c r="A45" s="124" t="s">
        <v>1254</v>
      </c>
      <c r="B45" s="141"/>
      <c r="C45" s="142"/>
      <c r="D45" s="142"/>
      <c r="E45" s="142" t="s">
        <v>1240</v>
      </c>
      <c r="F45" s="124" t="s">
        <v>168</v>
      </c>
      <c r="G45" s="124" t="s">
        <v>1361</v>
      </c>
      <c r="H45" s="141" t="s">
        <v>1362</v>
      </c>
      <c r="I45" s="141" t="s">
        <v>1363</v>
      </c>
    </row>
    <row r="46" spans="1:9" ht="16.5" customHeight="1">
      <c r="A46" s="124" t="s">
        <v>1226</v>
      </c>
      <c r="B46" s="141"/>
      <c r="C46" s="142"/>
      <c r="D46" s="142"/>
      <c r="E46" s="142" t="s">
        <v>1240</v>
      </c>
      <c r="F46" s="124" t="s">
        <v>66</v>
      </c>
      <c r="G46" s="124" t="s">
        <v>1261</v>
      </c>
      <c r="H46" s="141" t="s">
        <v>1364</v>
      </c>
      <c r="I46" s="141" t="s">
        <v>1365</v>
      </c>
    </row>
    <row r="47" spans="1:9" ht="16.5" customHeight="1">
      <c r="A47" s="124" t="s">
        <v>1232</v>
      </c>
      <c r="B47" s="141"/>
      <c r="C47" s="142"/>
      <c r="D47" s="142"/>
      <c r="E47" s="142" t="s">
        <v>1240</v>
      </c>
      <c r="F47" s="124" t="s">
        <v>80</v>
      </c>
      <c r="G47" s="124" t="s">
        <v>1366</v>
      </c>
      <c r="H47" s="141" t="s">
        <v>1367</v>
      </c>
      <c r="I47" s="141" t="s">
        <v>1368</v>
      </c>
    </row>
    <row r="48" spans="1:9" ht="16.5" customHeight="1">
      <c r="A48" s="124" t="s">
        <v>1257</v>
      </c>
      <c r="B48" s="141"/>
      <c r="C48" s="142"/>
      <c r="D48" s="142"/>
      <c r="E48" s="142" t="s">
        <v>1240</v>
      </c>
      <c r="F48" s="124" t="s">
        <v>1369</v>
      </c>
      <c r="G48" s="124" t="s">
        <v>1370</v>
      </c>
      <c r="H48" s="141" t="s">
        <v>1371</v>
      </c>
      <c r="I48" s="141" t="s">
        <v>1372</v>
      </c>
    </row>
    <row r="49" spans="1:9" ht="16.5" customHeight="1">
      <c r="A49" s="124" t="s">
        <v>1219</v>
      </c>
      <c r="B49" s="141"/>
      <c r="C49" s="142"/>
      <c r="D49" s="142"/>
      <c r="E49" s="142" t="s">
        <v>1240</v>
      </c>
      <c r="F49" s="124" t="s">
        <v>145</v>
      </c>
      <c r="G49" s="124" t="s">
        <v>1373</v>
      </c>
      <c r="H49" s="141" t="s">
        <v>1367</v>
      </c>
      <c r="I49" s="141" t="s">
        <v>1368</v>
      </c>
    </row>
    <row r="50" spans="1:9" ht="16.5" customHeight="1">
      <c r="A50" s="124" t="s">
        <v>1215</v>
      </c>
      <c r="B50" s="141"/>
      <c r="C50" s="142"/>
      <c r="D50" s="142"/>
      <c r="E50" s="142" t="s">
        <v>1240</v>
      </c>
      <c r="F50" s="124" t="s">
        <v>147</v>
      </c>
      <c r="G50" s="124" t="s">
        <v>1374</v>
      </c>
      <c r="H50" s="141" t="s">
        <v>1375</v>
      </c>
      <c r="I50" s="141" t="s">
        <v>1376</v>
      </c>
    </row>
    <row r="51" spans="1:9" ht="16.5" customHeight="1">
      <c r="A51" s="124" t="s">
        <v>1219</v>
      </c>
      <c r="B51" s="141"/>
      <c r="C51" s="142"/>
      <c r="D51" s="142"/>
      <c r="E51" s="142" t="s">
        <v>1240</v>
      </c>
      <c r="F51" s="124" t="s">
        <v>130</v>
      </c>
      <c r="G51" s="124" t="s">
        <v>1377</v>
      </c>
      <c r="H51" s="141" t="s">
        <v>1378</v>
      </c>
      <c r="I51" s="141" t="s">
        <v>1379</v>
      </c>
    </row>
    <row r="52" spans="1:9" ht="16.5" customHeight="1" thickBot="1">
      <c r="A52" s="124" t="s">
        <v>1226</v>
      </c>
      <c r="B52" s="129"/>
      <c r="C52" s="126"/>
      <c r="D52" s="126"/>
      <c r="E52" s="126" t="s">
        <v>1227</v>
      </c>
      <c r="F52" s="127" t="s">
        <v>52</v>
      </c>
      <c r="G52" s="127" t="s">
        <v>1380</v>
      </c>
      <c r="H52" s="129" t="s">
        <v>1381</v>
      </c>
      <c r="I52" s="129" t="s">
        <v>1382</v>
      </c>
    </row>
    <row r="53" spans="1:9" ht="16.5" customHeight="1" thickBot="1">
      <c r="A53" s="124" t="s">
        <v>1257</v>
      </c>
      <c r="B53" s="130" t="s">
        <v>1383</v>
      </c>
      <c r="C53" s="131" t="s">
        <v>1317</v>
      </c>
      <c r="D53" s="131"/>
      <c r="E53" s="131" t="s">
        <v>6</v>
      </c>
      <c r="F53" s="131" t="s">
        <v>48</v>
      </c>
      <c r="G53" s="131"/>
      <c r="H53" s="133" t="s">
        <v>1384</v>
      </c>
      <c r="I53" s="133" t="s">
        <v>1385</v>
      </c>
    </row>
    <row r="54" spans="1:9" ht="16.5" customHeight="1">
      <c r="A54" s="124" t="s">
        <v>1226</v>
      </c>
      <c r="B54" s="141"/>
      <c r="C54" s="142"/>
      <c r="D54" s="142"/>
      <c r="E54" s="142" t="s">
        <v>6</v>
      </c>
      <c r="F54" s="124" t="s">
        <v>18</v>
      </c>
      <c r="G54" s="124"/>
      <c r="H54" s="141" t="s">
        <v>1386</v>
      </c>
      <c r="I54" s="141" t="s">
        <v>1387</v>
      </c>
    </row>
    <row r="55" spans="1:9" ht="16.5" customHeight="1">
      <c r="A55" s="124" t="s">
        <v>1232</v>
      </c>
      <c r="B55" s="141"/>
      <c r="C55" s="142"/>
      <c r="D55" s="142"/>
      <c r="E55" s="124" t="s">
        <v>1240</v>
      </c>
      <c r="F55" s="124" t="s">
        <v>68</v>
      </c>
      <c r="G55" s="124" t="s">
        <v>1388</v>
      </c>
      <c r="H55" s="141" t="s">
        <v>1389</v>
      </c>
      <c r="I55" s="141" t="s">
        <v>1390</v>
      </c>
    </row>
    <row r="56" spans="1:9">
      <c r="A56" s="124" t="s">
        <v>1219</v>
      </c>
      <c r="B56" s="141"/>
      <c r="C56" s="142"/>
      <c r="D56" s="142"/>
      <c r="E56" s="124" t="s">
        <v>5</v>
      </c>
      <c r="F56" s="124" t="s">
        <v>203</v>
      </c>
      <c r="G56" s="124"/>
      <c r="H56" s="141" t="s">
        <v>1391</v>
      </c>
      <c r="I56" s="141" t="s">
        <v>1392</v>
      </c>
    </row>
    <row r="57" spans="1:9" ht="16.5" customHeight="1">
      <c r="A57" s="124" t="s">
        <v>1215</v>
      </c>
      <c r="B57" s="163"/>
      <c r="C57" s="164" t="s">
        <v>1394</v>
      </c>
      <c r="D57" s="164"/>
      <c r="E57" s="164" t="s">
        <v>227</v>
      </c>
      <c r="F57" s="164" t="s">
        <v>57</v>
      </c>
      <c r="G57" s="164"/>
      <c r="H57" s="163" t="s">
        <v>1395</v>
      </c>
      <c r="I57" s="163" t="s">
        <v>1396</v>
      </c>
    </row>
    <row r="58" spans="1:9">
      <c r="A58" s="124" t="s">
        <v>1215</v>
      </c>
      <c r="B58" s="141"/>
      <c r="C58" s="142"/>
      <c r="D58" s="142"/>
      <c r="E58" s="124" t="s">
        <v>5</v>
      </c>
      <c r="F58" s="124" t="s">
        <v>51</v>
      </c>
      <c r="G58" s="124"/>
      <c r="H58" s="141" t="s">
        <v>1397</v>
      </c>
      <c r="I58" s="141" t="s">
        <v>1398</v>
      </c>
    </row>
    <row r="59" spans="1:9" ht="16.5" customHeight="1">
      <c r="A59" s="124" t="s">
        <v>1257</v>
      </c>
      <c r="B59" s="141"/>
      <c r="C59" s="142"/>
      <c r="D59" s="142"/>
      <c r="E59" s="126" t="s">
        <v>1233</v>
      </c>
      <c r="F59" s="124" t="s">
        <v>163</v>
      </c>
      <c r="G59" s="124" t="s">
        <v>1399</v>
      </c>
      <c r="H59" s="166" t="s">
        <v>1400</v>
      </c>
      <c r="I59" s="167" t="s">
        <v>1401</v>
      </c>
    </row>
    <row r="60" spans="1:9" ht="16.5" customHeight="1">
      <c r="A60" s="124" t="s">
        <v>1232</v>
      </c>
      <c r="B60" s="141"/>
      <c r="C60" s="142"/>
      <c r="D60" s="142"/>
      <c r="E60" s="124" t="s">
        <v>6</v>
      </c>
      <c r="F60" s="124" t="s">
        <v>94</v>
      </c>
      <c r="G60" s="124"/>
      <c r="H60" s="168" t="s">
        <v>1402</v>
      </c>
      <c r="I60" s="141" t="s">
        <v>1403</v>
      </c>
    </row>
    <row r="61" spans="1:9" ht="16.5" customHeight="1">
      <c r="A61" s="124" t="s">
        <v>1257</v>
      </c>
      <c r="B61" s="141"/>
      <c r="C61" s="142"/>
      <c r="D61" s="142"/>
      <c r="E61" s="124" t="s">
        <v>6</v>
      </c>
      <c r="F61" s="124" t="s">
        <v>155</v>
      </c>
      <c r="G61" s="124"/>
      <c r="H61" s="141" t="s">
        <v>1404</v>
      </c>
      <c r="I61" s="141" t="s">
        <v>1405</v>
      </c>
    </row>
    <row r="62" spans="1:9" ht="16.5" customHeight="1">
      <c r="A62" s="124" t="s">
        <v>1254</v>
      </c>
      <c r="B62" s="141"/>
      <c r="C62" s="142"/>
      <c r="D62" s="142"/>
      <c r="E62" s="124" t="s">
        <v>6</v>
      </c>
      <c r="F62" s="124" t="s">
        <v>188</v>
      </c>
      <c r="G62" s="124"/>
      <c r="H62" s="141" t="s">
        <v>1406</v>
      </c>
      <c r="I62" s="141" t="s">
        <v>1407</v>
      </c>
    </row>
    <row r="63" spans="1:9" ht="16.5" customHeight="1">
      <c r="A63" s="124" t="s">
        <v>1226</v>
      </c>
      <c r="B63" s="151"/>
      <c r="C63" s="124"/>
      <c r="D63" s="124"/>
      <c r="E63" s="142" t="s">
        <v>6</v>
      </c>
      <c r="F63" s="124" t="s">
        <v>1408</v>
      </c>
      <c r="G63" s="124"/>
      <c r="H63" s="151" t="s">
        <v>1409</v>
      </c>
      <c r="I63" s="151" t="s">
        <v>1410</v>
      </c>
    </row>
    <row r="64" spans="1:9" ht="16.5" customHeight="1">
      <c r="A64" s="124" t="s">
        <v>1257</v>
      </c>
      <c r="B64" s="151"/>
      <c r="C64" s="124"/>
      <c r="D64" s="124"/>
      <c r="E64" s="142" t="s">
        <v>6</v>
      </c>
      <c r="F64" s="124" t="s">
        <v>150</v>
      </c>
      <c r="G64" s="124"/>
      <c r="H64" s="151" t="s">
        <v>1411</v>
      </c>
      <c r="I64" s="151" t="s">
        <v>1412</v>
      </c>
    </row>
    <row r="65" spans="1:9" ht="16.5" customHeight="1">
      <c r="A65" s="124" t="s">
        <v>1232</v>
      </c>
      <c r="B65" s="151"/>
      <c r="C65" s="124"/>
      <c r="D65" s="124"/>
      <c r="E65" s="142" t="s">
        <v>445</v>
      </c>
      <c r="F65" s="124" t="s">
        <v>69</v>
      </c>
      <c r="G65" s="144" t="s">
        <v>1413</v>
      </c>
      <c r="H65" s="151" t="s">
        <v>1414</v>
      </c>
      <c r="I65" s="151" t="s">
        <v>1415</v>
      </c>
    </row>
    <row r="66" spans="1:9" ht="16.5" customHeight="1">
      <c r="A66" s="124" t="s">
        <v>1232</v>
      </c>
      <c r="B66" s="151"/>
      <c r="C66" s="124"/>
      <c r="D66" s="124"/>
      <c r="E66" s="142" t="s">
        <v>5</v>
      </c>
      <c r="F66" s="124" t="s">
        <v>67</v>
      </c>
      <c r="G66" s="124"/>
      <c r="H66" s="151" t="s">
        <v>1416</v>
      </c>
      <c r="I66" s="151" t="s">
        <v>1417</v>
      </c>
    </row>
    <row r="67" spans="1:9" ht="16.5" customHeight="1">
      <c r="A67" s="124" t="s">
        <v>1215</v>
      </c>
      <c r="B67" s="151"/>
      <c r="C67" s="124"/>
      <c r="D67" s="124"/>
      <c r="E67" s="142" t="s">
        <v>6</v>
      </c>
      <c r="F67" s="124" t="s">
        <v>64</v>
      </c>
      <c r="G67" s="124"/>
      <c r="H67" s="151" t="s">
        <v>1418</v>
      </c>
      <c r="I67" s="151" t="s">
        <v>1419</v>
      </c>
    </row>
    <row r="68" spans="1:9" s="140" customFormat="1" ht="16.5" customHeight="1" thickBot="1">
      <c r="A68" s="124" t="s">
        <v>1215</v>
      </c>
      <c r="B68" s="139"/>
      <c r="C68" s="127"/>
      <c r="D68" s="127"/>
      <c r="E68" s="127" t="s">
        <v>1233</v>
      </c>
      <c r="F68" s="127" t="s">
        <v>1420</v>
      </c>
      <c r="G68" s="127" t="s">
        <v>1421</v>
      </c>
      <c r="H68" s="169" t="s">
        <v>1422</v>
      </c>
      <c r="I68" s="139" t="s">
        <v>1423</v>
      </c>
    </row>
    <row r="69" spans="1:9" ht="16.5" customHeight="1" thickBot="1">
      <c r="A69" s="124" t="s">
        <v>1257</v>
      </c>
      <c r="B69" s="130" t="s">
        <v>1424</v>
      </c>
      <c r="C69" s="131" t="s">
        <v>1295</v>
      </c>
      <c r="D69" s="131"/>
      <c r="E69" s="131" t="s">
        <v>5</v>
      </c>
      <c r="F69" s="131" t="s">
        <v>1425</v>
      </c>
      <c r="G69" s="131"/>
      <c r="H69" s="133" t="s">
        <v>1281</v>
      </c>
      <c r="I69" s="133" t="s">
        <v>1426</v>
      </c>
    </row>
    <row r="70" spans="1:9" ht="16.5" customHeight="1">
      <c r="A70" s="124" t="s">
        <v>1219</v>
      </c>
      <c r="B70" s="138"/>
      <c r="C70" s="136"/>
      <c r="D70" s="136"/>
      <c r="E70" s="135" t="s">
        <v>6</v>
      </c>
      <c r="F70" s="136" t="s">
        <v>129</v>
      </c>
      <c r="G70" s="136"/>
      <c r="H70" s="138" t="s">
        <v>1427</v>
      </c>
      <c r="I70" s="138" t="s">
        <v>1428</v>
      </c>
    </row>
    <row r="71" spans="1:9" s="140" customFormat="1" ht="16.5" customHeight="1">
      <c r="A71" s="124" t="s">
        <v>1215</v>
      </c>
      <c r="B71" s="151"/>
      <c r="C71" s="124" t="s">
        <v>1429</v>
      </c>
      <c r="D71" s="124"/>
      <c r="E71" s="124" t="s">
        <v>6</v>
      </c>
      <c r="F71" s="124" t="s">
        <v>1430</v>
      </c>
      <c r="G71" s="124"/>
      <c r="H71" s="151" t="s">
        <v>1431</v>
      </c>
      <c r="I71" s="151" t="s">
        <v>1432</v>
      </c>
    </row>
    <row r="72" spans="1:9" ht="16.5" customHeight="1">
      <c r="A72" s="124" t="s">
        <v>1257</v>
      </c>
      <c r="B72" s="151"/>
      <c r="C72" s="124"/>
      <c r="D72" s="124"/>
      <c r="E72" s="142" t="s">
        <v>6</v>
      </c>
      <c r="F72" s="124" t="s">
        <v>186</v>
      </c>
      <c r="G72" s="124"/>
      <c r="H72" s="151" t="s">
        <v>1433</v>
      </c>
      <c r="I72" s="151" t="s">
        <v>1434</v>
      </c>
    </row>
    <row r="73" spans="1:9" s="140" customFormat="1" ht="16.5" customHeight="1">
      <c r="A73" s="124" t="s">
        <v>1226</v>
      </c>
      <c r="B73" s="151"/>
      <c r="C73" s="124"/>
      <c r="D73" s="124"/>
      <c r="E73" s="124" t="s">
        <v>445</v>
      </c>
      <c r="F73" s="124" t="s">
        <v>88</v>
      </c>
      <c r="G73" s="124" t="s">
        <v>1435</v>
      </c>
      <c r="H73" s="151" t="s">
        <v>1436</v>
      </c>
      <c r="I73" s="151" t="s">
        <v>1437</v>
      </c>
    </row>
    <row r="74" spans="1:9" ht="16.5" customHeight="1">
      <c r="A74" s="124" t="s">
        <v>1257</v>
      </c>
      <c r="B74" s="151"/>
      <c r="C74" s="124"/>
      <c r="D74" s="124"/>
      <c r="E74" s="142" t="s">
        <v>6</v>
      </c>
      <c r="F74" s="124" t="s">
        <v>82</v>
      </c>
      <c r="G74" s="124"/>
      <c r="H74" s="151" t="s">
        <v>1438</v>
      </c>
      <c r="I74" s="151" t="s">
        <v>1439</v>
      </c>
    </row>
    <row r="75" spans="1:9" ht="16.5" customHeight="1">
      <c r="A75" s="124" t="s">
        <v>1219</v>
      </c>
      <c r="B75" s="151"/>
      <c r="C75" s="124"/>
      <c r="D75" s="124"/>
      <c r="E75" s="142" t="s">
        <v>6</v>
      </c>
      <c r="F75" s="124" t="s">
        <v>124</v>
      </c>
      <c r="G75" s="124"/>
      <c r="H75" s="151" t="s">
        <v>1440</v>
      </c>
      <c r="I75" s="151" t="s">
        <v>1441</v>
      </c>
    </row>
    <row r="76" spans="1:9" ht="16.5" customHeight="1">
      <c r="A76" s="124" t="s">
        <v>1215</v>
      </c>
      <c r="B76" s="151"/>
      <c r="C76" s="124"/>
      <c r="D76" s="124"/>
      <c r="E76" s="142" t="s">
        <v>1442</v>
      </c>
      <c r="F76" s="124" t="s">
        <v>152</v>
      </c>
      <c r="G76" s="124"/>
      <c r="H76" s="151" t="s">
        <v>1443</v>
      </c>
      <c r="I76" s="151" t="s">
        <v>1444</v>
      </c>
    </row>
    <row r="77" spans="1:9" ht="16.5" customHeight="1">
      <c r="A77" s="124" t="s">
        <v>1226</v>
      </c>
      <c r="B77" s="151"/>
      <c r="C77" s="124"/>
      <c r="D77" s="124"/>
      <c r="E77" s="142" t="s">
        <v>1233</v>
      </c>
      <c r="F77" s="124" t="s">
        <v>53</v>
      </c>
      <c r="G77" s="124" t="s">
        <v>1445</v>
      </c>
      <c r="H77" s="151" t="s">
        <v>1446</v>
      </c>
      <c r="I77" s="151" t="s">
        <v>1447</v>
      </c>
    </row>
    <row r="78" spans="1:9" ht="16.5" customHeight="1">
      <c r="A78" s="124" t="s">
        <v>1219</v>
      </c>
      <c r="B78" s="151"/>
      <c r="C78" s="124"/>
      <c r="D78" s="124"/>
      <c r="E78" s="142" t="s">
        <v>6</v>
      </c>
      <c r="F78" s="124" t="s">
        <v>1448</v>
      </c>
      <c r="G78" s="124"/>
      <c r="H78" s="151" t="s">
        <v>1449</v>
      </c>
      <c r="I78" s="151" t="s">
        <v>1450</v>
      </c>
    </row>
    <row r="79" spans="1:9" ht="16.5" customHeight="1">
      <c r="A79" s="124" t="s">
        <v>1219</v>
      </c>
      <c r="B79" s="170"/>
      <c r="C79" s="166"/>
      <c r="D79" s="166"/>
      <c r="E79" s="142" t="s">
        <v>6</v>
      </c>
      <c r="F79" s="124" t="s">
        <v>33</v>
      </c>
      <c r="G79" s="124"/>
      <c r="H79" s="141" t="s">
        <v>1451</v>
      </c>
      <c r="I79" s="141" t="s">
        <v>1452</v>
      </c>
    </row>
    <row r="80" spans="1:9" s="140" customFormat="1" ht="16.5" customHeight="1">
      <c r="A80" s="124" t="s">
        <v>1232</v>
      </c>
      <c r="B80" s="151"/>
      <c r="C80" s="124"/>
      <c r="D80" s="124"/>
      <c r="E80" s="124" t="s">
        <v>1261</v>
      </c>
      <c r="F80" s="124" t="s">
        <v>79</v>
      </c>
      <c r="G80" s="124" t="s">
        <v>1453</v>
      </c>
      <c r="H80" s="151" t="s">
        <v>1454</v>
      </c>
      <c r="I80" s="151" t="s">
        <v>1455</v>
      </c>
    </row>
    <row r="81" spans="1:9" ht="16.5" customHeight="1">
      <c r="A81" s="124" t="s">
        <v>1254</v>
      </c>
      <c r="B81" s="151"/>
      <c r="C81" s="124"/>
      <c r="D81" s="124"/>
      <c r="E81" s="124" t="s">
        <v>1282</v>
      </c>
      <c r="F81" s="124" t="s">
        <v>1456</v>
      </c>
      <c r="G81" s="124" t="s">
        <v>1457</v>
      </c>
      <c r="H81" s="151" t="s">
        <v>1451</v>
      </c>
      <c r="I81" s="151" t="s">
        <v>1452</v>
      </c>
    </row>
    <row r="82" spans="1:9" ht="16.5" customHeight="1">
      <c r="A82" s="124" t="s">
        <v>1226</v>
      </c>
      <c r="B82" s="170"/>
      <c r="C82" s="166"/>
      <c r="D82" s="166"/>
      <c r="E82" s="124" t="s">
        <v>6</v>
      </c>
      <c r="F82" s="124" t="s">
        <v>13</v>
      </c>
      <c r="G82" s="124"/>
      <c r="H82" s="141" t="s">
        <v>1458</v>
      </c>
      <c r="I82" s="141" t="s">
        <v>1459</v>
      </c>
    </row>
    <row r="83" spans="1:9" ht="16.5" customHeight="1">
      <c r="A83" s="124" t="s">
        <v>1219</v>
      </c>
      <c r="B83" s="170"/>
      <c r="C83" s="166"/>
      <c r="D83" s="166"/>
      <c r="E83" s="124" t="s">
        <v>6</v>
      </c>
      <c r="F83" s="124" t="s">
        <v>9</v>
      </c>
      <c r="G83" s="124"/>
      <c r="H83" s="141" t="s">
        <v>1460</v>
      </c>
      <c r="I83" s="141" t="s">
        <v>1461</v>
      </c>
    </row>
    <row r="84" spans="1:9" ht="16.5" customHeight="1">
      <c r="A84" s="124" t="s">
        <v>1226</v>
      </c>
      <c r="B84" s="141"/>
      <c r="C84" s="142"/>
      <c r="D84" s="142"/>
      <c r="E84" s="124" t="s">
        <v>5</v>
      </c>
      <c r="F84" s="124" t="s">
        <v>102</v>
      </c>
      <c r="G84" s="124"/>
      <c r="H84" s="141" t="s">
        <v>1458</v>
      </c>
      <c r="I84" s="141" t="s">
        <v>1459</v>
      </c>
    </row>
    <row r="85" spans="1:9" ht="16.5" customHeight="1">
      <c r="A85" s="124" t="s">
        <v>1219</v>
      </c>
      <c r="B85" s="141"/>
      <c r="C85" s="142"/>
      <c r="D85" s="142"/>
      <c r="E85" s="124" t="s">
        <v>1462</v>
      </c>
      <c r="F85" s="124" t="s">
        <v>201</v>
      </c>
      <c r="G85" s="124"/>
      <c r="H85" s="141" t="s">
        <v>1463</v>
      </c>
      <c r="I85" s="141" t="s">
        <v>1464</v>
      </c>
    </row>
    <row r="86" spans="1:9" ht="16.5" customHeight="1">
      <c r="A86" s="124" t="s">
        <v>1254</v>
      </c>
      <c r="B86" s="141"/>
      <c r="C86" s="142"/>
      <c r="D86" s="142"/>
      <c r="E86" s="124" t="s">
        <v>6</v>
      </c>
      <c r="F86" s="124" t="s">
        <v>189</v>
      </c>
      <c r="G86" s="124"/>
      <c r="H86" s="168" t="s">
        <v>1465</v>
      </c>
      <c r="I86" s="141" t="s">
        <v>1466</v>
      </c>
    </row>
    <row r="87" spans="1:9" ht="16.5" customHeight="1">
      <c r="A87" s="124" t="s">
        <v>1215</v>
      </c>
      <c r="B87" s="141"/>
      <c r="C87" s="142"/>
      <c r="D87" s="142"/>
      <c r="E87" s="124" t="s">
        <v>6</v>
      </c>
      <c r="F87" s="124" t="s">
        <v>103</v>
      </c>
      <c r="G87" s="124"/>
      <c r="H87" s="171" t="s">
        <v>1343</v>
      </c>
      <c r="I87" s="141" t="s">
        <v>1467</v>
      </c>
    </row>
    <row r="88" spans="1:9" ht="16.5" customHeight="1">
      <c r="A88" s="124" t="s">
        <v>1257</v>
      </c>
      <c r="B88" s="141"/>
      <c r="C88" s="142"/>
      <c r="D88" s="142"/>
      <c r="E88" s="124" t="s">
        <v>1240</v>
      </c>
      <c r="F88" s="124" t="s">
        <v>185</v>
      </c>
      <c r="G88" s="124" t="s">
        <v>1468</v>
      </c>
      <c r="H88" s="171" t="s">
        <v>1469</v>
      </c>
      <c r="I88" s="141" t="s">
        <v>1470</v>
      </c>
    </row>
    <row r="89" spans="1:9" ht="16.5" customHeight="1">
      <c r="A89" s="124" t="s">
        <v>1254</v>
      </c>
      <c r="B89" s="141"/>
      <c r="C89" s="142"/>
      <c r="D89" s="142"/>
      <c r="E89" s="124" t="s">
        <v>6</v>
      </c>
      <c r="F89" s="124" t="s">
        <v>187</v>
      </c>
      <c r="G89" s="124"/>
      <c r="H89" s="171" t="s">
        <v>1471</v>
      </c>
      <c r="I89" s="141" t="s">
        <v>1472</v>
      </c>
    </row>
    <row r="90" spans="1:9" ht="16.5" customHeight="1">
      <c r="A90" s="124" t="s">
        <v>1257</v>
      </c>
      <c r="B90" s="141"/>
      <c r="C90" s="142"/>
      <c r="D90" s="142"/>
      <c r="E90" s="124" t="s">
        <v>445</v>
      </c>
      <c r="F90" s="124" t="s">
        <v>154</v>
      </c>
      <c r="G90" s="124"/>
      <c r="H90" s="172" t="s">
        <v>1473</v>
      </c>
      <c r="I90" s="173" t="s">
        <v>1474</v>
      </c>
    </row>
    <row r="91" spans="1:9" ht="16.5" customHeight="1" thickBot="1">
      <c r="A91" s="124" t="s">
        <v>1232</v>
      </c>
      <c r="B91" s="129"/>
      <c r="C91" s="126"/>
      <c r="D91" s="126"/>
      <c r="E91" s="127" t="s">
        <v>6</v>
      </c>
      <c r="F91" s="127" t="s">
        <v>83</v>
      </c>
      <c r="G91" s="127"/>
      <c r="H91" s="139" t="s">
        <v>1343</v>
      </c>
      <c r="I91" s="174" t="s">
        <v>1467</v>
      </c>
    </row>
    <row r="92" spans="1:9" ht="16.5" customHeight="1" thickBot="1">
      <c r="A92" s="159" t="s">
        <v>1219</v>
      </c>
      <c r="B92" s="130" t="s">
        <v>1475</v>
      </c>
      <c r="C92" s="131" t="s">
        <v>1317</v>
      </c>
      <c r="D92" s="131"/>
      <c r="E92" s="131" t="s">
        <v>6</v>
      </c>
      <c r="F92" s="131" t="s">
        <v>118</v>
      </c>
      <c r="G92" s="131"/>
      <c r="H92" s="133" t="s">
        <v>1469</v>
      </c>
      <c r="I92" s="175" t="s">
        <v>1470</v>
      </c>
    </row>
    <row r="93" spans="1:9" ht="16.5" customHeight="1">
      <c r="A93" s="124" t="s">
        <v>1215</v>
      </c>
      <c r="B93" s="134"/>
      <c r="C93" s="135"/>
      <c r="D93" s="135"/>
      <c r="E93" s="136" t="s">
        <v>1240</v>
      </c>
      <c r="F93" s="136" t="s">
        <v>126</v>
      </c>
      <c r="G93" s="136" t="s">
        <v>1476</v>
      </c>
      <c r="H93" s="138" t="s">
        <v>1469</v>
      </c>
      <c r="I93" s="176" t="s">
        <v>1470</v>
      </c>
    </row>
    <row r="94" spans="1:9" ht="16.5" customHeight="1">
      <c r="A94" s="124" t="s">
        <v>1219</v>
      </c>
      <c r="B94" s="141"/>
      <c r="C94" s="142"/>
      <c r="D94" s="142"/>
      <c r="E94" s="124" t="s">
        <v>5</v>
      </c>
      <c r="F94" s="124" t="s">
        <v>98</v>
      </c>
      <c r="G94" s="124"/>
      <c r="H94" s="151" t="s">
        <v>1477</v>
      </c>
      <c r="I94" s="173" t="s">
        <v>1478</v>
      </c>
    </row>
    <row r="95" spans="1:9" ht="16.5" customHeight="1" thickBot="1">
      <c r="A95" s="124" t="s">
        <v>1215</v>
      </c>
      <c r="B95" s="129"/>
      <c r="C95" s="126"/>
      <c r="D95" s="126"/>
      <c r="E95" s="126" t="s">
        <v>1233</v>
      </c>
      <c r="F95" s="127" t="s">
        <v>104</v>
      </c>
      <c r="G95" s="127" t="s">
        <v>1479</v>
      </c>
      <c r="H95" s="139" t="s">
        <v>1480</v>
      </c>
      <c r="I95" s="174" t="s">
        <v>1481</v>
      </c>
    </row>
    <row r="96" spans="1:9" ht="16.5" customHeight="1" thickBot="1">
      <c r="A96" s="124" t="s">
        <v>1254</v>
      </c>
      <c r="B96" s="130" t="s">
        <v>1482</v>
      </c>
      <c r="C96" s="131" t="s">
        <v>1317</v>
      </c>
      <c r="D96" s="131"/>
      <c r="E96" s="131" t="s">
        <v>1227</v>
      </c>
      <c r="F96" s="131" t="s">
        <v>16</v>
      </c>
      <c r="G96" s="131" t="s">
        <v>1483</v>
      </c>
      <c r="H96" s="133" t="s">
        <v>1484</v>
      </c>
      <c r="I96" s="133" t="s">
        <v>1485</v>
      </c>
    </row>
    <row r="97" spans="1:9" ht="16.5" customHeight="1" thickBot="1">
      <c r="A97" s="124" t="s">
        <v>1257</v>
      </c>
      <c r="B97" s="130" t="s">
        <v>1486</v>
      </c>
      <c r="C97" s="131" t="s">
        <v>1321</v>
      </c>
      <c r="D97" s="131"/>
      <c r="E97" s="131" t="s">
        <v>6</v>
      </c>
      <c r="F97" s="131" t="s">
        <v>1487</v>
      </c>
      <c r="G97" s="131"/>
      <c r="H97" s="133" t="s">
        <v>1488</v>
      </c>
      <c r="I97" s="133" t="s">
        <v>1489</v>
      </c>
    </row>
    <row r="98" spans="1:9" ht="16.5" customHeight="1" thickBot="1">
      <c r="A98" s="124" t="s">
        <v>1257</v>
      </c>
      <c r="B98" s="155"/>
      <c r="C98" s="156"/>
      <c r="D98" s="156"/>
      <c r="E98" s="156" t="s">
        <v>6</v>
      </c>
      <c r="F98" s="157" t="s">
        <v>117</v>
      </c>
      <c r="G98" s="157"/>
      <c r="H98" s="155" t="s">
        <v>1490</v>
      </c>
      <c r="I98" s="155" t="s">
        <v>1491</v>
      </c>
    </row>
    <row r="99" spans="1:9" ht="16.5" customHeight="1" thickBot="1">
      <c r="A99" s="124" t="s">
        <v>1254</v>
      </c>
      <c r="B99" s="146" t="s">
        <v>1492</v>
      </c>
      <c r="C99" s="147" t="s">
        <v>1300</v>
      </c>
      <c r="D99" s="147"/>
      <c r="E99" s="147" t="s">
        <v>445</v>
      </c>
      <c r="F99" s="147" t="s">
        <v>202</v>
      </c>
      <c r="G99" s="147" t="s">
        <v>1493</v>
      </c>
      <c r="H99" s="149" t="s">
        <v>1494</v>
      </c>
      <c r="I99" s="149" t="s">
        <v>1495</v>
      </c>
    </row>
    <row r="100" spans="1:9" ht="16.5" customHeight="1">
      <c r="A100" s="124" t="s">
        <v>1219</v>
      </c>
      <c r="B100" s="134"/>
      <c r="C100" s="135"/>
      <c r="D100" s="135"/>
      <c r="E100" s="135" t="s">
        <v>6</v>
      </c>
      <c r="F100" s="136" t="s">
        <v>50</v>
      </c>
      <c r="G100" s="136"/>
      <c r="H100" s="134" t="s">
        <v>1496</v>
      </c>
      <c r="I100" s="134" t="s">
        <v>1497</v>
      </c>
    </row>
    <row r="101" spans="1:9" ht="16.5" customHeight="1">
      <c r="A101" s="124" t="s">
        <v>1226</v>
      </c>
      <c r="B101" s="141"/>
      <c r="C101" s="142"/>
      <c r="D101" s="142"/>
      <c r="E101" s="142" t="s">
        <v>5</v>
      </c>
      <c r="F101" s="124" t="s">
        <v>96</v>
      </c>
      <c r="G101" s="124"/>
      <c r="H101" s="141" t="s">
        <v>1498</v>
      </c>
      <c r="I101" s="141" t="s">
        <v>1499</v>
      </c>
    </row>
    <row r="102" spans="1:9" ht="16.5" customHeight="1">
      <c r="A102" s="124" t="s">
        <v>1257</v>
      </c>
      <c r="B102" s="141"/>
      <c r="C102" s="142"/>
      <c r="D102" s="142"/>
      <c r="E102" s="142" t="s">
        <v>6</v>
      </c>
      <c r="F102" s="124" t="s">
        <v>20</v>
      </c>
      <c r="G102" s="124"/>
      <c r="H102" s="141" t="s">
        <v>1500</v>
      </c>
      <c r="I102" s="141" t="s">
        <v>1501</v>
      </c>
    </row>
    <row r="103" spans="1:9" ht="16.5" customHeight="1" thickBot="1">
      <c r="A103" s="124" t="s">
        <v>1257</v>
      </c>
      <c r="B103" s="129"/>
      <c r="C103" s="126"/>
      <c r="D103" s="126"/>
      <c r="E103" s="126" t="s">
        <v>1233</v>
      </c>
      <c r="F103" s="127" t="s">
        <v>97</v>
      </c>
      <c r="G103" s="127" t="s">
        <v>1502</v>
      </c>
      <c r="H103" s="129" t="s">
        <v>1503</v>
      </c>
      <c r="I103" s="129" t="s">
        <v>1504</v>
      </c>
    </row>
    <row r="104" spans="1:9" ht="16.5" customHeight="1" thickBot="1">
      <c r="A104" s="124" t="s">
        <v>1257</v>
      </c>
      <c r="B104" s="130" t="s">
        <v>1505</v>
      </c>
      <c r="C104" s="131" t="s">
        <v>1317</v>
      </c>
      <c r="D104" s="131"/>
      <c r="E104" s="131" t="s">
        <v>6</v>
      </c>
      <c r="F104" s="132" t="s">
        <v>45</v>
      </c>
      <c r="G104" s="132"/>
      <c r="H104" s="133" t="s">
        <v>1506</v>
      </c>
      <c r="I104" s="133" t="s">
        <v>1507</v>
      </c>
    </row>
    <row r="105" spans="1:9" ht="16.5" customHeight="1">
      <c r="A105" s="124" t="s">
        <v>1254</v>
      </c>
      <c r="B105" s="134"/>
      <c r="C105" s="135"/>
      <c r="D105" s="135"/>
      <c r="E105" s="135" t="s">
        <v>445</v>
      </c>
      <c r="F105" s="137" t="s">
        <v>176</v>
      </c>
      <c r="G105" s="177" t="s">
        <v>1508</v>
      </c>
      <c r="H105" s="178" t="s">
        <v>1509</v>
      </c>
      <c r="I105" s="179" t="s">
        <v>1510</v>
      </c>
    </row>
    <row r="106" spans="1:9" ht="16.5" customHeight="1">
      <c r="A106" s="124" t="s">
        <v>1232</v>
      </c>
      <c r="B106" s="141"/>
      <c r="C106" s="142"/>
      <c r="D106" s="142"/>
      <c r="E106" s="142" t="s">
        <v>1282</v>
      </c>
      <c r="F106" s="143" t="s">
        <v>1511</v>
      </c>
      <c r="G106" s="143" t="s">
        <v>1512</v>
      </c>
      <c r="H106" s="141" t="s">
        <v>1513</v>
      </c>
      <c r="I106" s="141" t="s">
        <v>1514</v>
      </c>
    </row>
    <row r="107" spans="1:9" ht="16.5" customHeight="1">
      <c r="A107" s="124" t="s">
        <v>1215</v>
      </c>
      <c r="B107" s="141"/>
      <c r="C107" s="142"/>
      <c r="D107" s="142"/>
      <c r="E107" s="142" t="s">
        <v>6</v>
      </c>
      <c r="F107" s="143" t="s">
        <v>63</v>
      </c>
      <c r="G107" s="143"/>
      <c r="H107" s="141" t="s">
        <v>1515</v>
      </c>
      <c r="I107" s="141" t="s">
        <v>1516</v>
      </c>
    </row>
    <row r="108" spans="1:9" s="140" customFormat="1" ht="16.5" customHeight="1">
      <c r="A108" s="124" t="s">
        <v>1215</v>
      </c>
      <c r="B108" s="151"/>
      <c r="C108" s="124"/>
      <c r="D108" s="124"/>
      <c r="E108" s="124" t="s">
        <v>1233</v>
      </c>
      <c r="F108" s="143" t="s">
        <v>106</v>
      </c>
      <c r="G108" s="143" t="s">
        <v>1517</v>
      </c>
      <c r="H108" s="151" t="s">
        <v>1518</v>
      </c>
      <c r="I108" s="151" t="s">
        <v>1519</v>
      </c>
    </row>
    <row r="109" spans="1:9" ht="16.5" customHeight="1" thickBot="1">
      <c r="A109" s="124" t="s">
        <v>1254</v>
      </c>
      <c r="B109" s="139"/>
      <c r="C109" s="127"/>
      <c r="D109" s="127"/>
      <c r="E109" s="126" t="s">
        <v>1240</v>
      </c>
      <c r="F109" s="128" t="s">
        <v>194</v>
      </c>
      <c r="G109" s="128" t="s">
        <v>1520</v>
      </c>
      <c r="H109" s="139" t="s">
        <v>1365</v>
      </c>
      <c r="I109" s="139" t="s">
        <v>1521</v>
      </c>
    </row>
    <row r="110" spans="1:9" ht="16.5" customHeight="1" thickBot="1">
      <c r="A110" s="124" t="s">
        <v>1215</v>
      </c>
      <c r="B110" s="130" t="s">
        <v>1522</v>
      </c>
      <c r="C110" s="131" t="s">
        <v>1221</v>
      </c>
      <c r="D110" s="131"/>
      <c r="E110" s="131" t="s">
        <v>6</v>
      </c>
      <c r="F110" s="132" t="s">
        <v>153</v>
      </c>
      <c r="G110" s="132"/>
      <c r="H110" s="133" t="s">
        <v>1523</v>
      </c>
      <c r="I110" s="133" t="s">
        <v>1524</v>
      </c>
    </row>
    <row r="111" spans="1:9" ht="16.5" customHeight="1">
      <c r="A111" s="124" t="s">
        <v>1219</v>
      </c>
      <c r="B111" s="134"/>
      <c r="C111" s="135"/>
      <c r="D111" s="135"/>
      <c r="E111" s="135" t="s">
        <v>1233</v>
      </c>
      <c r="F111" s="137" t="s">
        <v>32</v>
      </c>
      <c r="G111" s="137" t="s">
        <v>1525</v>
      </c>
      <c r="H111" s="134" t="s">
        <v>1523</v>
      </c>
      <c r="I111" s="134" t="s">
        <v>1526</v>
      </c>
    </row>
    <row r="112" spans="1:9" ht="16.5" customHeight="1">
      <c r="A112" s="124" t="s">
        <v>1226</v>
      </c>
      <c r="B112" s="141"/>
      <c r="C112" s="142"/>
      <c r="D112" s="142"/>
      <c r="E112" s="142" t="s">
        <v>6</v>
      </c>
      <c r="F112" s="143" t="s">
        <v>38</v>
      </c>
      <c r="G112" s="143"/>
      <c r="H112" s="141" t="s">
        <v>1527</v>
      </c>
      <c r="I112" s="141" t="s">
        <v>1528</v>
      </c>
    </row>
    <row r="113" spans="1:9" ht="16.5" customHeight="1">
      <c r="A113" s="124" t="s">
        <v>1215</v>
      </c>
      <c r="B113" s="141"/>
      <c r="C113" s="142"/>
      <c r="D113" s="142"/>
      <c r="E113" s="124" t="s">
        <v>5</v>
      </c>
      <c r="F113" s="143" t="s">
        <v>92</v>
      </c>
      <c r="G113" s="143"/>
      <c r="H113" s="141" t="s">
        <v>1529</v>
      </c>
      <c r="I113" s="141" t="s">
        <v>1530</v>
      </c>
    </row>
    <row r="114" spans="1:9" ht="16.5" customHeight="1">
      <c r="A114" s="124" t="s">
        <v>1226</v>
      </c>
      <c r="B114" s="141"/>
      <c r="C114" s="142"/>
      <c r="D114" s="142"/>
      <c r="E114" s="142" t="s">
        <v>1240</v>
      </c>
      <c r="F114" s="143" t="s">
        <v>193</v>
      </c>
      <c r="G114" s="143" t="s">
        <v>1156</v>
      </c>
      <c r="H114" s="141" t="s">
        <v>1531</v>
      </c>
      <c r="I114" s="141" t="s">
        <v>1532</v>
      </c>
    </row>
    <row r="115" spans="1:9" ht="16.5" customHeight="1" thickBot="1">
      <c r="A115" s="124" t="s">
        <v>1254</v>
      </c>
      <c r="B115" s="129"/>
      <c r="C115" s="126"/>
      <c r="D115" s="126"/>
      <c r="E115" s="126" t="s">
        <v>5</v>
      </c>
      <c r="F115" s="128" t="s">
        <v>191</v>
      </c>
      <c r="G115" s="128"/>
      <c r="H115" s="129" t="s">
        <v>1533</v>
      </c>
      <c r="I115" s="129" t="s">
        <v>1534</v>
      </c>
    </row>
    <row r="116" spans="1:9" ht="16.5" customHeight="1" thickBot="1">
      <c r="A116" s="124" t="s">
        <v>1257</v>
      </c>
      <c r="B116" s="146"/>
      <c r="C116" s="147" t="s">
        <v>1300</v>
      </c>
      <c r="D116" s="150" t="s">
        <v>1535</v>
      </c>
      <c r="E116" s="147" t="s">
        <v>445</v>
      </c>
      <c r="F116" s="148" t="s">
        <v>1536</v>
      </c>
      <c r="G116" s="148" t="s">
        <v>1537</v>
      </c>
      <c r="H116" s="149" t="s">
        <v>1538</v>
      </c>
      <c r="I116" s="149" t="s">
        <v>1539</v>
      </c>
    </row>
    <row r="117" spans="1:9" ht="16.5" customHeight="1">
      <c r="A117" s="124" t="s">
        <v>1257</v>
      </c>
      <c r="B117" s="141"/>
      <c r="C117" s="142"/>
      <c r="D117" s="142"/>
      <c r="E117" s="124" t="s">
        <v>6</v>
      </c>
      <c r="F117" s="143" t="s">
        <v>74</v>
      </c>
      <c r="G117" s="143"/>
      <c r="H117" s="141" t="s">
        <v>1385</v>
      </c>
      <c r="I117" s="141" t="s">
        <v>1540</v>
      </c>
    </row>
    <row r="118" spans="1:9" ht="16.5" customHeight="1">
      <c r="A118" s="124" t="s">
        <v>1219</v>
      </c>
      <c r="B118" s="151"/>
      <c r="C118" s="124"/>
      <c r="D118" s="124"/>
      <c r="E118" s="142" t="s">
        <v>6</v>
      </c>
      <c r="F118" s="143" t="s">
        <v>25</v>
      </c>
      <c r="G118" s="143"/>
      <c r="H118" s="172" t="s">
        <v>1541</v>
      </c>
      <c r="I118" s="172" t="s">
        <v>1542</v>
      </c>
    </row>
    <row r="119" spans="1:9" ht="16.5" customHeight="1">
      <c r="A119" s="124" t="s">
        <v>1254</v>
      </c>
      <c r="B119" s="141"/>
      <c r="C119" s="142"/>
      <c r="D119" s="142"/>
      <c r="E119" s="142" t="s">
        <v>5</v>
      </c>
      <c r="F119" s="143" t="s">
        <v>141</v>
      </c>
      <c r="G119" s="143"/>
      <c r="H119" s="141" t="s">
        <v>1543</v>
      </c>
      <c r="I119" s="141" t="s">
        <v>1544</v>
      </c>
    </row>
    <row r="120" spans="1:9" ht="16.5" customHeight="1" thickBot="1">
      <c r="A120" s="124" t="s">
        <v>1215</v>
      </c>
      <c r="B120" s="141"/>
      <c r="C120" s="142"/>
      <c r="D120" s="142"/>
      <c r="E120" s="142" t="s">
        <v>5</v>
      </c>
      <c r="F120" s="143" t="s">
        <v>160</v>
      </c>
      <c r="G120" s="143"/>
      <c r="H120" s="141" t="s">
        <v>1545</v>
      </c>
      <c r="I120" s="141" t="s">
        <v>1546</v>
      </c>
    </row>
    <row r="121" spans="1:9" ht="16.5" customHeight="1" thickBot="1">
      <c r="A121" s="124" t="s">
        <v>1257</v>
      </c>
      <c r="B121" s="130" t="s">
        <v>1547</v>
      </c>
      <c r="C121" s="131" t="s">
        <v>1221</v>
      </c>
      <c r="D121" s="131"/>
      <c r="E121" s="131" t="s">
        <v>5</v>
      </c>
      <c r="F121" s="132" t="s">
        <v>119</v>
      </c>
      <c r="G121" s="132"/>
      <c r="H121" s="133" t="s">
        <v>1548</v>
      </c>
      <c r="I121" s="133" t="s">
        <v>1549</v>
      </c>
    </row>
    <row r="122" spans="1:9" ht="16.5" customHeight="1">
      <c r="A122" s="124" t="s">
        <v>1215</v>
      </c>
      <c r="B122" s="141"/>
      <c r="C122" s="142"/>
      <c r="D122" s="142"/>
      <c r="E122" s="142" t="s">
        <v>1261</v>
      </c>
      <c r="F122" s="143" t="s">
        <v>113</v>
      </c>
      <c r="G122" s="143" t="s">
        <v>1550</v>
      </c>
      <c r="H122" s="141" t="s">
        <v>1551</v>
      </c>
      <c r="I122" s="141" t="s">
        <v>1552</v>
      </c>
    </row>
    <row r="123" spans="1:9" ht="16.5" customHeight="1">
      <c r="A123" s="124" t="s">
        <v>1257</v>
      </c>
      <c r="B123" s="141"/>
      <c r="C123" s="142"/>
      <c r="D123" s="142"/>
      <c r="E123" s="142" t="s">
        <v>6</v>
      </c>
      <c r="F123" s="143" t="s">
        <v>173</v>
      </c>
      <c r="G123" s="143"/>
      <c r="H123" s="141" t="s">
        <v>1553</v>
      </c>
      <c r="I123" s="141" t="s">
        <v>1554</v>
      </c>
    </row>
    <row r="124" spans="1:9" ht="16.5" customHeight="1">
      <c r="A124" s="124" t="s">
        <v>1232</v>
      </c>
      <c r="B124" s="141"/>
      <c r="C124" s="142"/>
      <c r="D124" s="142"/>
      <c r="E124" s="142" t="s">
        <v>6</v>
      </c>
      <c r="F124" s="143" t="s">
        <v>76</v>
      </c>
      <c r="G124" s="143"/>
      <c r="H124" s="141" t="s">
        <v>1398</v>
      </c>
      <c r="I124" s="141" t="s">
        <v>1555</v>
      </c>
    </row>
    <row r="125" spans="1:9" ht="16.5" customHeight="1">
      <c r="A125" s="124" t="s">
        <v>1254</v>
      </c>
      <c r="B125" s="129"/>
      <c r="C125" s="126"/>
      <c r="D125" s="126"/>
      <c r="E125" s="127" t="s">
        <v>1227</v>
      </c>
      <c r="F125" s="128" t="s">
        <v>190</v>
      </c>
      <c r="G125" s="128" t="s">
        <v>1556</v>
      </c>
      <c r="H125" s="129" t="s">
        <v>1557</v>
      </c>
      <c r="I125" s="129" t="s">
        <v>1558</v>
      </c>
    </row>
    <row r="126" spans="1:9" ht="16.5" customHeight="1">
      <c r="A126" s="124" t="s">
        <v>1215</v>
      </c>
      <c r="B126" s="134"/>
      <c r="C126" s="135"/>
      <c r="D126" s="135"/>
      <c r="E126" s="135" t="s">
        <v>6</v>
      </c>
      <c r="F126" s="137" t="s">
        <v>133</v>
      </c>
      <c r="G126" s="137"/>
      <c r="H126" s="134" t="s">
        <v>1559</v>
      </c>
      <c r="I126" s="134" t="s">
        <v>1560</v>
      </c>
    </row>
    <row r="127" spans="1:9" ht="16.5" customHeight="1">
      <c r="A127" s="124" t="s">
        <v>1226</v>
      </c>
      <c r="B127" s="141"/>
      <c r="C127" s="142"/>
      <c r="D127" s="142"/>
      <c r="E127" s="142" t="s">
        <v>6</v>
      </c>
      <c r="F127" s="143" t="s">
        <v>44</v>
      </c>
      <c r="G127" s="143"/>
      <c r="H127" s="141" t="s">
        <v>1561</v>
      </c>
      <c r="I127" s="141" t="s">
        <v>1562</v>
      </c>
    </row>
    <row r="128" spans="1:9" ht="16.5" customHeight="1">
      <c r="A128" s="124" t="s">
        <v>1215</v>
      </c>
      <c r="B128" s="141"/>
      <c r="C128" s="142"/>
      <c r="D128" s="142"/>
      <c r="E128" s="142" t="s">
        <v>5</v>
      </c>
      <c r="F128" s="143" t="s">
        <v>131</v>
      </c>
      <c r="G128" s="143"/>
      <c r="H128" s="141" t="s">
        <v>1563</v>
      </c>
      <c r="I128" s="141" t="s">
        <v>1564</v>
      </c>
    </row>
    <row r="129" spans="1:9" ht="16.5" customHeight="1">
      <c r="A129" s="124" t="s">
        <v>1215</v>
      </c>
      <c r="B129" s="141"/>
      <c r="C129" s="142"/>
      <c r="D129" s="1" t="s">
        <v>1535</v>
      </c>
      <c r="E129" s="142" t="s">
        <v>1565</v>
      </c>
      <c r="F129" s="143" t="s">
        <v>1566</v>
      </c>
      <c r="G129" s="144" t="s">
        <v>1567</v>
      </c>
      <c r="H129" s="141" t="s">
        <v>1568</v>
      </c>
      <c r="I129" s="141" t="s">
        <v>1569</v>
      </c>
    </row>
    <row r="130" spans="1:9" ht="16.5" customHeight="1">
      <c r="A130" s="124" t="s">
        <v>1215</v>
      </c>
      <c r="B130" s="141"/>
      <c r="C130" s="142"/>
      <c r="D130" s="142"/>
      <c r="E130" s="142" t="s">
        <v>6</v>
      </c>
      <c r="F130" s="143" t="s">
        <v>125</v>
      </c>
      <c r="G130" s="143"/>
      <c r="H130" s="141" t="s">
        <v>1559</v>
      </c>
      <c r="I130" s="141" t="s">
        <v>1560</v>
      </c>
    </row>
    <row r="131" spans="1:9" ht="16.5" customHeight="1">
      <c r="A131" s="124" t="s">
        <v>1226</v>
      </c>
      <c r="B131" s="141"/>
      <c r="C131" s="142"/>
      <c r="D131" s="142"/>
      <c r="E131" s="142" t="s">
        <v>6</v>
      </c>
      <c r="F131" s="143" t="s">
        <v>196</v>
      </c>
      <c r="G131" s="143"/>
      <c r="H131" s="141" t="s">
        <v>1570</v>
      </c>
      <c r="I131" s="141" t="s">
        <v>1571</v>
      </c>
    </row>
    <row r="132" spans="1:9" ht="16.5" customHeight="1">
      <c r="A132" s="124" t="s">
        <v>1219</v>
      </c>
      <c r="B132" s="141"/>
      <c r="C132" s="142"/>
      <c r="D132" s="142"/>
      <c r="E132" s="142" t="s">
        <v>6</v>
      </c>
      <c r="F132" s="143" t="s">
        <v>143</v>
      </c>
      <c r="G132" s="143"/>
      <c r="H132" s="141" t="s">
        <v>1572</v>
      </c>
      <c r="I132" s="141" t="s">
        <v>1573</v>
      </c>
    </row>
    <row r="133" spans="1:9" ht="16.5" customHeight="1">
      <c r="A133" s="124" t="s">
        <v>1226</v>
      </c>
      <c r="B133" s="141"/>
      <c r="C133" s="142"/>
      <c r="D133" s="142"/>
      <c r="E133" s="142" t="s">
        <v>6</v>
      </c>
      <c r="F133" s="143" t="s">
        <v>39</v>
      </c>
      <c r="G133" s="143"/>
      <c r="H133" s="141" t="s">
        <v>1574</v>
      </c>
      <c r="I133" s="141" t="s">
        <v>1575</v>
      </c>
    </row>
    <row r="134" spans="1:9" ht="16.5" customHeight="1">
      <c r="A134" s="124" t="s">
        <v>1219</v>
      </c>
      <c r="B134" s="141"/>
      <c r="C134" s="142"/>
      <c r="D134" s="142"/>
      <c r="E134" s="142" t="s">
        <v>1233</v>
      </c>
      <c r="F134" s="143" t="s">
        <v>1576</v>
      </c>
      <c r="G134" s="180" t="s">
        <v>1577</v>
      </c>
      <c r="H134" s="141" t="s">
        <v>1572</v>
      </c>
      <c r="I134" s="141" t="s">
        <v>1578</v>
      </c>
    </row>
    <row r="135" spans="1:9" ht="16.5" customHeight="1" thickBot="1">
      <c r="A135" s="124" t="s">
        <v>1232</v>
      </c>
      <c r="B135" s="129"/>
      <c r="C135" s="126"/>
      <c r="D135" s="126"/>
      <c r="E135" s="126" t="s">
        <v>5</v>
      </c>
      <c r="F135" s="181" t="s">
        <v>93</v>
      </c>
      <c r="G135" s="181"/>
      <c r="H135" s="129" t="s">
        <v>1579</v>
      </c>
      <c r="I135" s="129" t="s">
        <v>1580</v>
      </c>
    </row>
    <row r="136" spans="1:9" ht="16.5" customHeight="1" thickBot="1">
      <c r="A136" s="124" t="s">
        <v>1215</v>
      </c>
      <c r="B136" s="146"/>
      <c r="C136" s="147" t="s">
        <v>1393</v>
      </c>
      <c r="D136" s="150" t="s">
        <v>1581</v>
      </c>
      <c r="E136" s="147" t="s">
        <v>6</v>
      </c>
      <c r="F136" s="182" t="s">
        <v>1582</v>
      </c>
      <c r="G136" s="182"/>
      <c r="H136" s="149" t="s">
        <v>1583</v>
      </c>
      <c r="I136" s="149" t="s">
        <v>1584</v>
      </c>
    </row>
    <row r="137" spans="1:9" ht="16.5" customHeight="1">
      <c r="A137" s="124" t="s">
        <v>1215</v>
      </c>
      <c r="B137" s="134"/>
      <c r="C137" s="135"/>
      <c r="D137" s="135"/>
      <c r="E137" s="135" t="s">
        <v>6</v>
      </c>
      <c r="F137" s="183" t="s">
        <v>107</v>
      </c>
      <c r="G137" s="183"/>
      <c r="H137" s="134" t="s">
        <v>1585</v>
      </c>
      <c r="I137" s="134" t="s">
        <v>1586</v>
      </c>
    </row>
    <row r="138" spans="1:9" ht="16.5" customHeight="1">
      <c r="A138" s="124" t="s">
        <v>1226</v>
      </c>
      <c r="B138" s="141"/>
      <c r="C138" s="142"/>
      <c r="D138" s="142"/>
      <c r="E138" s="142" t="s">
        <v>1565</v>
      </c>
      <c r="F138" s="184" t="s">
        <v>199</v>
      </c>
      <c r="G138" s="184" t="s">
        <v>1587</v>
      </c>
      <c r="H138" s="141" t="s">
        <v>1588</v>
      </c>
      <c r="I138" s="141" t="s">
        <v>1589</v>
      </c>
    </row>
    <row r="139" spans="1:9">
      <c r="A139" s="124" t="s">
        <v>1226</v>
      </c>
      <c r="B139" s="141"/>
      <c r="C139" s="142"/>
      <c r="D139" s="142"/>
      <c r="E139" s="142" t="s">
        <v>1240</v>
      </c>
      <c r="F139" s="184" t="s">
        <v>719</v>
      </c>
      <c r="G139" s="184" t="s">
        <v>1590</v>
      </c>
      <c r="H139" s="141" t="s">
        <v>1591</v>
      </c>
      <c r="I139" s="141" t="s">
        <v>1592</v>
      </c>
    </row>
    <row r="140" spans="1:9" ht="16.5" customHeight="1" thickBot="1">
      <c r="A140" s="124" t="s">
        <v>1215</v>
      </c>
      <c r="B140" s="129"/>
      <c r="C140" s="126"/>
      <c r="D140" s="126"/>
      <c r="E140" s="126" t="s">
        <v>6</v>
      </c>
      <c r="F140" s="181" t="s">
        <v>105</v>
      </c>
      <c r="G140" s="181"/>
      <c r="H140" s="129" t="s">
        <v>1593</v>
      </c>
      <c r="I140" s="129" t="s">
        <v>1594</v>
      </c>
    </row>
    <row r="141" spans="1:9" s="140" customFormat="1" ht="16.5" customHeight="1" thickBot="1">
      <c r="A141" s="124" t="s">
        <v>1232</v>
      </c>
      <c r="B141" s="130" t="s">
        <v>1595</v>
      </c>
      <c r="C141" s="131" t="s">
        <v>1596</v>
      </c>
      <c r="D141" s="131"/>
      <c r="E141" s="131" t="s">
        <v>1240</v>
      </c>
      <c r="F141" s="185" t="s">
        <v>73</v>
      </c>
      <c r="G141" s="185" t="s">
        <v>1597</v>
      </c>
      <c r="H141" s="133" t="s">
        <v>1598</v>
      </c>
      <c r="I141" s="133" t="s">
        <v>1599</v>
      </c>
    </row>
    <row r="142" spans="1:9" s="140" customFormat="1" ht="16.5" customHeight="1">
      <c r="A142" s="124" t="s">
        <v>1254</v>
      </c>
      <c r="B142" s="138"/>
      <c r="C142" s="136"/>
      <c r="D142" s="136"/>
      <c r="E142" s="136" t="s">
        <v>445</v>
      </c>
      <c r="F142" s="183" t="s">
        <v>123</v>
      </c>
      <c r="G142" s="183" t="s">
        <v>1600</v>
      </c>
      <c r="H142" s="138" t="s">
        <v>1593</v>
      </c>
      <c r="I142" s="138" t="s">
        <v>1594</v>
      </c>
    </row>
    <row r="143" spans="1:9" ht="16.5" customHeight="1" thickBot="1">
      <c r="A143" s="124" t="s">
        <v>1219</v>
      </c>
      <c r="B143" s="141"/>
      <c r="C143" s="142"/>
      <c r="D143" s="142"/>
      <c r="E143" s="142" t="s">
        <v>445</v>
      </c>
      <c r="F143" s="184" t="s">
        <v>180</v>
      </c>
      <c r="G143" s="184" t="s">
        <v>1601</v>
      </c>
      <c r="H143" s="141" t="s">
        <v>1602</v>
      </c>
      <c r="I143" s="141" t="s">
        <v>1603</v>
      </c>
    </row>
    <row r="144" spans="1:9" ht="16.5" customHeight="1" thickBot="1">
      <c r="A144" s="124" t="s">
        <v>1254</v>
      </c>
      <c r="B144" s="152" t="s">
        <v>1604</v>
      </c>
      <c r="C144" s="153" t="s">
        <v>1239</v>
      </c>
      <c r="D144" s="153"/>
      <c r="E144" s="186" t="s">
        <v>6</v>
      </c>
      <c r="F144" s="186" t="s">
        <v>15</v>
      </c>
      <c r="G144" s="186"/>
      <c r="H144" s="187" t="s">
        <v>1605</v>
      </c>
      <c r="I144" s="187" t="s">
        <v>1606</v>
      </c>
    </row>
    <row r="145" spans="1:9" ht="16.5" customHeight="1">
      <c r="A145" s="124" t="s">
        <v>1226</v>
      </c>
      <c r="B145" s="141"/>
      <c r="C145" s="142"/>
      <c r="D145" s="142"/>
      <c r="E145" s="142" t="s">
        <v>1240</v>
      </c>
      <c r="F145" s="124" t="s">
        <v>37</v>
      </c>
      <c r="G145" s="124" t="s">
        <v>1154</v>
      </c>
      <c r="H145" s="141" t="s">
        <v>1607</v>
      </c>
      <c r="I145" s="141" t="s">
        <v>1608</v>
      </c>
    </row>
    <row r="146" spans="1:9" ht="16.5" customHeight="1">
      <c r="A146" s="124" t="s">
        <v>1232</v>
      </c>
      <c r="B146" s="141"/>
      <c r="C146" s="142"/>
      <c r="D146" s="142"/>
      <c r="E146" s="142" t="s">
        <v>1240</v>
      </c>
      <c r="F146" s="124" t="s">
        <v>84</v>
      </c>
      <c r="G146" s="124" t="s">
        <v>1609</v>
      </c>
      <c r="H146" s="141" t="s">
        <v>1415</v>
      </c>
      <c r="I146" s="141" t="s">
        <v>1610</v>
      </c>
    </row>
    <row r="147" spans="1:9" ht="16.5" customHeight="1">
      <c r="A147" s="124" t="s">
        <v>1257</v>
      </c>
      <c r="B147" s="141"/>
      <c r="C147" s="142"/>
      <c r="D147" s="142"/>
      <c r="E147" s="142" t="s">
        <v>445</v>
      </c>
      <c r="F147" s="124" t="s">
        <v>81</v>
      </c>
      <c r="G147" s="124" t="s">
        <v>1611</v>
      </c>
      <c r="H147" s="141" t="s">
        <v>1612</v>
      </c>
      <c r="I147" s="141" t="s">
        <v>1613</v>
      </c>
    </row>
    <row r="148" spans="1:9" ht="16.5" customHeight="1">
      <c r="A148" s="124" t="s">
        <v>1219</v>
      </c>
      <c r="B148" s="141"/>
      <c r="C148" s="142"/>
      <c r="D148" s="142"/>
      <c r="E148" s="142" t="s">
        <v>1240</v>
      </c>
      <c r="F148" s="124" t="s">
        <v>122</v>
      </c>
      <c r="G148" s="124" t="s">
        <v>1157</v>
      </c>
      <c r="H148" s="141" t="s">
        <v>1614</v>
      </c>
      <c r="I148" s="141" t="s">
        <v>1615</v>
      </c>
    </row>
    <row r="149" spans="1:9">
      <c r="A149" s="124" t="s">
        <v>1257</v>
      </c>
      <c r="B149" s="141"/>
      <c r="C149" s="142"/>
      <c r="D149" s="142"/>
      <c r="E149" s="142" t="s">
        <v>6</v>
      </c>
      <c r="F149" s="124" t="s">
        <v>727</v>
      </c>
      <c r="G149" s="124"/>
      <c r="H149" s="141" t="s">
        <v>1616</v>
      </c>
      <c r="I149" s="141" t="s">
        <v>1617</v>
      </c>
    </row>
    <row r="150" spans="1:9" ht="16.5" customHeight="1">
      <c r="A150" s="124" t="s">
        <v>1254</v>
      </c>
      <c r="B150" s="129"/>
      <c r="C150" s="126"/>
      <c r="D150" s="126"/>
      <c r="E150" s="126" t="s">
        <v>6</v>
      </c>
      <c r="F150" s="127" t="s">
        <v>140</v>
      </c>
      <c r="G150" s="127"/>
      <c r="H150" s="129" t="s">
        <v>1618</v>
      </c>
      <c r="I150" s="129" t="s">
        <v>1619</v>
      </c>
    </row>
    <row r="151" spans="1:9" ht="17.25" thickBot="1">
      <c r="A151" s="124" t="s">
        <v>1226</v>
      </c>
      <c r="B151" s="155"/>
      <c r="C151" s="156"/>
      <c r="D151" s="156"/>
      <c r="E151" s="156" t="s">
        <v>1240</v>
      </c>
      <c r="F151" s="157" t="s">
        <v>11</v>
      </c>
      <c r="G151" s="157" t="s">
        <v>1620</v>
      </c>
      <c r="H151" s="155" t="s">
        <v>1621</v>
      </c>
      <c r="I151" s="155" t="s">
        <v>1622</v>
      </c>
    </row>
    <row r="152" spans="1:9" ht="16.5" customHeight="1" thickBot="1">
      <c r="A152" s="124" t="s">
        <v>1257</v>
      </c>
      <c r="B152" s="146" t="s">
        <v>1623</v>
      </c>
      <c r="C152" s="147" t="s">
        <v>1624</v>
      </c>
      <c r="D152" s="147"/>
      <c r="E152" s="147" t="s">
        <v>445</v>
      </c>
      <c r="F152" s="147" t="s">
        <v>1625</v>
      </c>
      <c r="G152" s="147" t="s">
        <v>1626</v>
      </c>
      <c r="H152" s="149" t="s">
        <v>1623</v>
      </c>
      <c r="I152" s="149" t="s">
        <v>1627</v>
      </c>
    </row>
    <row r="153" spans="1:9" ht="16.5" customHeight="1" thickBot="1">
      <c r="A153" s="124" t="s">
        <v>1257</v>
      </c>
      <c r="B153" s="155"/>
      <c r="C153" s="156"/>
      <c r="D153" s="156"/>
      <c r="E153" s="156" t="s">
        <v>1240</v>
      </c>
      <c r="F153" s="157" t="s">
        <v>1628</v>
      </c>
      <c r="G153" s="157" t="s">
        <v>1629</v>
      </c>
      <c r="H153" s="155" t="s">
        <v>1499</v>
      </c>
      <c r="I153" s="155" t="s">
        <v>1630</v>
      </c>
    </row>
    <row r="154" spans="1:9" ht="16.5" customHeight="1" thickBot="1">
      <c r="A154" s="124" t="s">
        <v>1257</v>
      </c>
      <c r="B154" s="146" t="s">
        <v>1631</v>
      </c>
      <c r="C154" s="147" t="s">
        <v>1624</v>
      </c>
      <c r="D154" s="147"/>
      <c r="E154" s="147" t="s">
        <v>1240</v>
      </c>
      <c r="F154" s="147" t="s">
        <v>179</v>
      </c>
      <c r="G154" s="147" t="s">
        <v>1632</v>
      </c>
      <c r="H154" s="149" t="s">
        <v>1633</v>
      </c>
      <c r="I154" s="149" t="s">
        <v>1634</v>
      </c>
    </row>
    <row r="155" spans="1:9" ht="16.5" customHeight="1">
      <c r="A155" s="124" t="s">
        <v>1219</v>
      </c>
      <c r="B155" s="134"/>
      <c r="C155" s="135"/>
      <c r="D155" s="135"/>
      <c r="E155" s="135" t="s">
        <v>1240</v>
      </c>
      <c r="F155" s="136" t="s">
        <v>24</v>
      </c>
      <c r="G155" s="136" t="s">
        <v>1162</v>
      </c>
      <c r="H155" s="134" t="s">
        <v>1635</v>
      </c>
      <c r="I155" s="134" t="s">
        <v>1636</v>
      </c>
    </row>
    <row r="156" spans="1:9" ht="16.5" customHeight="1">
      <c r="A156" s="124" t="s">
        <v>1219</v>
      </c>
      <c r="B156" s="141"/>
      <c r="C156" s="142"/>
      <c r="D156" s="142"/>
      <c r="E156" s="142" t="s">
        <v>1240</v>
      </c>
      <c r="F156" s="124" t="s">
        <v>198</v>
      </c>
      <c r="G156" s="124" t="s">
        <v>1161</v>
      </c>
      <c r="H156" s="141" t="s">
        <v>1637</v>
      </c>
      <c r="I156" s="141" t="s">
        <v>1638</v>
      </c>
    </row>
    <row r="157" spans="1:9" ht="16.5" customHeight="1">
      <c r="A157" s="124" t="s">
        <v>1226</v>
      </c>
      <c r="B157" s="141"/>
      <c r="C157" s="142"/>
      <c r="D157" s="142"/>
      <c r="E157" s="142" t="s">
        <v>6</v>
      </c>
      <c r="F157" s="124" t="s">
        <v>30</v>
      </c>
      <c r="G157" s="124"/>
      <c r="H157" s="141" t="s">
        <v>1639</v>
      </c>
      <c r="I157" s="141" t="s">
        <v>1640</v>
      </c>
    </row>
    <row r="158" spans="1:9" ht="16.5" customHeight="1" thickBot="1">
      <c r="A158" s="124" t="s">
        <v>1226</v>
      </c>
      <c r="B158" s="129"/>
      <c r="C158" s="126"/>
      <c r="D158" s="126"/>
      <c r="E158" s="126" t="s">
        <v>1240</v>
      </c>
      <c r="F158" s="127" t="s">
        <v>36</v>
      </c>
      <c r="G158" s="127" t="s">
        <v>1158</v>
      </c>
      <c r="H158" s="189" t="s">
        <v>1641</v>
      </c>
      <c r="I158" s="189" t="s">
        <v>1642</v>
      </c>
    </row>
    <row r="159" spans="1:9" ht="16.5" customHeight="1" thickBot="1">
      <c r="A159" s="124" t="s">
        <v>1257</v>
      </c>
      <c r="B159" s="146" t="s">
        <v>1643</v>
      </c>
      <c r="C159" s="147" t="s">
        <v>1393</v>
      </c>
      <c r="D159" s="147"/>
      <c r="E159" s="147" t="s">
        <v>445</v>
      </c>
      <c r="F159" s="147" t="s">
        <v>46</v>
      </c>
      <c r="G159" s="147" t="s">
        <v>1644</v>
      </c>
      <c r="H159" s="190" t="s">
        <v>1645</v>
      </c>
      <c r="I159" s="190" t="s">
        <v>1646</v>
      </c>
    </row>
    <row r="160" spans="1:9">
      <c r="A160" s="124" t="s">
        <v>1254</v>
      </c>
      <c r="B160" s="141"/>
      <c r="C160" s="142"/>
      <c r="D160" s="142"/>
      <c r="E160" s="142" t="s">
        <v>1240</v>
      </c>
      <c r="F160" s="124" t="s">
        <v>200</v>
      </c>
      <c r="G160" s="124" t="s">
        <v>1647</v>
      </c>
      <c r="H160" s="191" t="s">
        <v>1648</v>
      </c>
      <c r="I160" s="191" t="s">
        <v>1649</v>
      </c>
    </row>
    <row r="161" spans="1:9" ht="16.5" customHeight="1">
      <c r="A161" s="124" t="s">
        <v>1219</v>
      </c>
      <c r="B161" s="141"/>
      <c r="C161" s="142"/>
      <c r="D161" s="142"/>
      <c r="E161" s="142" t="s">
        <v>445</v>
      </c>
      <c r="F161" s="124" t="s">
        <v>29</v>
      </c>
      <c r="G161" s="124" t="s">
        <v>1650</v>
      </c>
      <c r="H161" s="191" t="s">
        <v>1651</v>
      </c>
      <c r="I161" s="191" t="s">
        <v>1652</v>
      </c>
    </row>
    <row r="162" spans="1:9" ht="16.5" customHeight="1">
      <c r="A162" s="124" t="s">
        <v>1226</v>
      </c>
      <c r="B162" s="141"/>
      <c r="C162" s="142"/>
      <c r="D162" s="142"/>
      <c r="E162" s="142" t="s">
        <v>6</v>
      </c>
      <c r="F162" s="124" t="s">
        <v>26</v>
      </c>
      <c r="G162" s="124"/>
      <c r="H162" s="191" t="s">
        <v>1653</v>
      </c>
      <c r="I162" s="191" t="s">
        <v>1654</v>
      </c>
    </row>
    <row r="163" spans="1:9" ht="16.5" customHeight="1">
      <c r="A163" s="124" t="s">
        <v>1257</v>
      </c>
      <c r="B163" s="141"/>
      <c r="C163" s="142"/>
      <c r="D163" s="142"/>
      <c r="E163" s="142" t="s">
        <v>1240</v>
      </c>
      <c r="F163" s="124" t="s">
        <v>1655</v>
      </c>
      <c r="G163" s="124" t="s">
        <v>1157</v>
      </c>
      <c r="H163" s="191" t="s">
        <v>1656</v>
      </c>
      <c r="I163" s="192" t="s">
        <v>1657</v>
      </c>
    </row>
    <row r="164" spans="1:9" ht="16.5" customHeight="1">
      <c r="A164" s="124" t="s">
        <v>1257</v>
      </c>
      <c r="B164" s="141"/>
      <c r="C164" s="142"/>
      <c r="D164" s="142"/>
      <c r="E164" s="142" t="s">
        <v>5</v>
      </c>
      <c r="F164" s="124" t="s">
        <v>41</v>
      </c>
      <c r="G164" s="124"/>
      <c r="H164" s="191" t="s">
        <v>1658</v>
      </c>
      <c r="I164" s="192" t="s">
        <v>1659</v>
      </c>
    </row>
    <row r="165" spans="1:9" ht="16.5" customHeight="1">
      <c r="A165" s="124" t="s">
        <v>1226</v>
      </c>
      <c r="B165" s="141"/>
      <c r="C165" s="142"/>
      <c r="D165" s="142"/>
      <c r="E165" s="142" t="s">
        <v>1240</v>
      </c>
      <c r="F165" s="124" t="s">
        <v>27</v>
      </c>
      <c r="G165" s="124" t="s">
        <v>1660</v>
      </c>
      <c r="H165" s="191" t="s">
        <v>1661</v>
      </c>
      <c r="I165" s="192" t="s">
        <v>1662</v>
      </c>
    </row>
    <row r="166" spans="1:9" ht="16.5" customHeight="1">
      <c r="A166" s="124" t="s">
        <v>1215</v>
      </c>
      <c r="B166" s="193"/>
      <c r="C166" s="144"/>
      <c r="D166" s="144"/>
      <c r="E166" s="142" t="s">
        <v>1240</v>
      </c>
      <c r="F166" s="188" t="s">
        <v>90</v>
      </c>
      <c r="G166" s="188" t="s">
        <v>445</v>
      </c>
      <c r="H166" s="191" t="s">
        <v>1663</v>
      </c>
      <c r="I166" s="192" t="s">
        <v>1664</v>
      </c>
    </row>
    <row r="167" spans="1:9">
      <c r="A167" s="124" t="s">
        <v>1215</v>
      </c>
      <c r="B167" s="193"/>
      <c r="C167" s="144"/>
      <c r="D167" s="144"/>
      <c r="E167" s="142" t="s">
        <v>1240</v>
      </c>
      <c r="F167" s="188" t="s">
        <v>58</v>
      </c>
      <c r="G167" s="188" t="s">
        <v>1665</v>
      </c>
      <c r="H167" s="191" t="s">
        <v>1666</v>
      </c>
      <c r="I167" s="192" t="s">
        <v>1667</v>
      </c>
    </row>
    <row r="168" spans="1:9" ht="16.5" customHeight="1" thickBot="1">
      <c r="A168" s="124" t="s">
        <v>1219</v>
      </c>
      <c r="B168" s="195" t="s">
        <v>1668</v>
      </c>
      <c r="C168" s="196" t="s">
        <v>1239</v>
      </c>
      <c r="D168" s="196"/>
      <c r="E168" s="153" t="s">
        <v>6</v>
      </c>
      <c r="F168" s="153" t="s">
        <v>1669</v>
      </c>
      <c r="G168" s="153"/>
      <c r="H168" s="197" t="s">
        <v>1670</v>
      </c>
      <c r="I168" s="197" t="s">
        <v>1671</v>
      </c>
    </row>
    <row r="169" spans="1:9" ht="16.5" customHeight="1">
      <c r="A169" s="124" t="s">
        <v>1254</v>
      </c>
      <c r="B169" s="192"/>
      <c r="C169" s="162"/>
      <c r="D169" s="162"/>
      <c r="E169" s="142" t="s">
        <v>445</v>
      </c>
      <c r="F169" s="124" t="s">
        <v>1672</v>
      </c>
      <c r="G169" s="124" t="s">
        <v>1673</v>
      </c>
      <c r="H169" s="192" t="s">
        <v>1674</v>
      </c>
      <c r="I169" s="192" t="s">
        <v>1675</v>
      </c>
    </row>
    <row r="170" spans="1:9" ht="16.5" customHeight="1">
      <c r="A170" s="124" t="s">
        <v>1215</v>
      </c>
      <c r="B170" s="192"/>
      <c r="C170" s="162"/>
      <c r="D170" s="162"/>
      <c r="E170" s="142" t="s">
        <v>445</v>
      </c>
      <c r="F170" s="124" t="s">
        <v>1676</v>
      </c>
      <c r="G170" s="144" t="s">
        <v>1677</v>
      </c>
      <c r="H170" s="192" t="s">
        <v>1678</v>
      </c>
      <c r="I170" s="192" t="s">
        <v>1679</v>
      </c>
    </row>
    <row r="171" spans="1:9" ht="16.5" customHeight="1">
      <c r="A171" s="124" t="s">
        <v>1257</v>
      </c>
      <c r="B171" s="193"/>
      <c r="C171" s="162"/>
      <c r="D171" s="162"/>
      <c r="E171" s="142" t="s">
        <v>227</v>
      </c>
      <c r="F171" s="124" t="s">
        <v>1680</v>
      </c>
      <c r="G171" s="124"/>
      <c r="H171" s="193" t="s">
        <v>1681</v>
      </c>
      <c r="I171" s="193" t="s">
        <v>1682</v>
      </c>
    </row>
    <row r="172" spans="1:9">
      <c r="A172" s="124" t="s">
        <v>1219</v>
      </c>
      <c r="B172" s="193"/>
      <c r="C172" s="144"/>
      <c r="D172" s="1" t="s">
        <v>567</v>
      </c>
      <c r="E172" s="142" t="s">
        <v>1240</v>
      </c>
      <c r="F172" s="144" t="s">
        <v>1683</v>
      </c>
      <c r="G172" s="144" t="s">
        <v>1684</v>
      </c>
      <c r="H172" s="198" t="s">
        <v>1685</v>
      </c>
      <c r="I172" s="173" t="s">
        <v>1686</v>
      </c>
    </row>
    <row r="173" spans="1:9">
      <c r="A173" s="124" t="s">
        <v>1232</v>
      </c>
      <c r="B173" s="193"/>
      <c r="C173" s="144"/>
      <c r="D173" s="1" t="s">
        <v>567</v>
      </c>
      <c r="E173" s="142" t="s">
        <v>1565</v>
      </c>
      <c r="F173" s="144" t="s">
        <v>1687</v>
      </c>
      <c r="G173" s="144" t="s">
        <v>1688</v>
      </c>
      <c r="H173" s="193" t="s">
        <v>1689</v>
      </c>
      <c r="I173" s="193" t="s">
        <v>1690</v>
      </c>
    </row>
    <row r="174" spans="1:9" ht="16.5" customHeight="1">
      <c r="A174" s="124" t="s">
        <v>1215</v>
      </c>
      <c r="B174" s="193"/>
      <c r="C174" s="199"/>
      <c r="D174" s="1" t="s">
        <v>567</v>
      </c>
      <c r="E174" s="142" t="s">
        <v>1240</v>
      </c>
      <c r="F174" s="144" t="s">
        <v>1691</v>
      </c>
      <c r="G174" s="144" t="s">
        <v>1692</v>
      </c>
      <c r="H174" s="193" t="s">
        <v>1693</v>
      </c>
      <c r="I174" s="193" t="s">
        <v>1694</v>
      </c>
    </row>
    <row r="175" spans="1:9" ht="16.5" customHeight="1">
      <c r="A175" s="124" t="s">
        <v>1215</v>
      </c>
      <c r="B175" s="193"/>
      <c r="C175" s="162"/>
      <c r="D175" s="1"/>
      <c r="E175" s="144" t="s">
        <v>1240</v>
      </c>
      <c r="F175" s="144" t="s">
        <v>1695</v>
      </c>
      <c r="G175" s="144" t="s">
        <v>1155</v>
      </c>
      <c r="H175" s="193" t="s">
        <v>1696</v>
      </c>
      <c r="I175" s="193" t="s">
        <v>1697</v>
      </c>
    </row>
    <row r="176" spans="1:9" ht="16.5" customHeight="1">
      <c r="A176" s="124" t="s">
        <v>1226</v>
      </c>
      <c r="B176" s="193"/>
      <c r="C176" s="162"/>
      <c r="D176" s="1" t="s">
        <v>433</v>
      </c>
      <c r="E176" s="144" t="s">
        <v>1698</v>
      </c>
      <c r="F176" s="144" t="s">
        <v>1699</v>
      </c>
      <c r="G176" s="162"/>
      <c r="H176" s="193" t="s">
        <v>1700</v>
      </c>
      <c r="I176" s="193" t="s">
        <v>1701</v>
      </c>
    </row>
    <row r="177" spans="1:9" ht="16.5" customHeight="1">
      <c r="A177" s="124" t="s">
        <v>1215</v>
      </c>
      <c r="B177" s="193"/>
      <c r="C177" s="162"/>
      <c r="D177" s="1" t="s">
        <v>433</v>
      </c>
      <c r="E177" s="144" t="s">
        <v>227</v>
      </c>
      <c r="F177" s="144" t="s">
        <v>1702</v>
      </c>
      <c r="G177" s="162"/>
      <c r="H177" s="193" t="s">
        <v>1703</v>
      </c>
      <c r="I177" s="193" t="s">
        <v>1701</v>
      </c>
    </row>
    <row r="178" spans="1:9" ht="16.5" customHeight="1">
      <c r="A178" s="124" t="s">
        <v>1226</v>
      </c>
      <c r="B178" s="193"/>
      <c r="C178" s="162"/>
      <c r="D178" s="1" t="s">
        <v>433</v>
      </c>
      <c r="E178" s="144" t="s">
        <v>1698</v>
      </c>
      <c r="F178" s="144" t="s">
        <v>1704</v>
      </c>
      <c r="G178" s="162"/>
      <c r="H178" s="193" t="s">
        <v>1705</v>
      </c>
      <c r="I178" s="193" t="s">
        <v>1706</v>
      </c>
    </row>
    <row r="179" spans="1:9" ht="16.5" customHeight="1">
      <c r="A179" s="124" t="s">
        <v>1215</v>
      </c>
      <c r="B179" s="193"/>
      <c r="C179" s="162"/>
      <c r="D179" s="1" t="s">
        <v>433</v>
      </c>
      <c r="E179" s="144" t="s">
        <v>1240</v>
      </c>
      <c r="F179" s="144" t="s">
        <v>1707</v>
      </c>
      <c r="G179" s="144" t="s">
        <v>1155</v>
      </c>
      <c r="H179" s="193" t="s">
        <v>1708</v>
      </c>
      <c r="I179" s="193" t="s">
        <v>1709</v>
      </c>
    </row>
    <row r="180" spans="1:9" ht="16.5" customHeight="1">
      <c r="A180" s="124" t="s">
        <v>1254</v>
      </c>
      <c r="B180" s="193"/>
      <c r="C180" s="162"/>
      <c r="D180" s="1" t="s">
        <v>433</v>
      </c>
      <c r="E180" s="144" t="s">
        <v>1240</v>
      </c>
      <c r="F180" s="144" t="s">
        <v>1710</v>
      </c>
      <c r="G180" s="144" t="s">
        <v>1711</v>
      </c>
      <c r="H180" s="193" t="s">
        <v>1712</v>
      </c>
      <c r="I180" s="193" t="s">
        <v>1713</v>
      </c>
    </row>
    <row r="181" spans="1:9" ht="16.5" customHeight="1">
      <c r="A181" s="124" t="s">
        <v>1219</v>
      </c>
      <c r="B181" s="193"/>
      <c r="C181" s="162"/>
      <c r="D181" s="1" t="s">
        <v>433</v>
      </c>
      <c r="E181" s="144" t="s">
        <v>444</v>
      </c>
      <c r="F181" s="144" t="s">
        <v>1714</v>
      </c>
      <c r="G181" s="162"/>
      <c r="H181" s="193" t="s">
        <v>1715</v>
      </c>
      <c r="I181" s="193" t="s">
        <v>1716</v>
      </c>
    </row>
    <row r="182" spans="1:9" ht="16.5" customHeight="1">
      <c r="A182" s="124" t="s">
        <v>1257</v>
      </c>
      <c r="B182" s="200" t="s">
        <v>1717</v>
      </c>
      <c r="C182" s="201" t="s">
        <v>1596</v>
      </c>
      <c r="D182" s="165" t="s">
        <v>433</v>
      </c>
      <c r="E182" s="201" t="s">
        <v>1698</v>
      </c>
      <c r="F182" s="201" t="s">
        <v>1718</v>
      </c>
      <c r="G182" s="201"/>
      <c r="H182" s="200" t="s">
        <v>1719</v>
      </c>
      <c r="I182" s="200" t="s">
        <v>1720</v>
      </c>
    </row>
    <row r="183" spans="1:9" ht="16.5" customHeight="1">
      <c r="A183" s="124" t="s">
        <v>1257</v>
      </c>
      <c r="B183" s="193"/>
      <c r="C183" s="144"/>
      <c r="D183" s="1" t="s">
        <v>433</v>
      </c>
      <c r="E183" s="144" t="s">
        <v>1240</v>
      </c>
      <c r="F183" s="144" t="s">
        <v>1721</v>
      </c>
      <c r="G183" s="144" t="s">
        <v>1722</v>
      </c>
      <c r="H183" s="193" t="s">
        <v>1723</v>
      </c>
      <c r="I183" s="193" t="s">
        <v>1724</v>
      </c>
    </row>
    <row r="184" spans="1:9" ht="16.5" customHeight="1">
      <c r="A184" s="124" t="s">
        <v>1254</v>
      </c>
      <c r="B184" s="193"/>
      <c r="C184" s="144"/>
      <c r="D184" s="1" t="s">
        <v>433</v>
      </c>
      <c r="E184" s="144" t="s">
        <v>1240</v>
      </c>
      <c r="F184" s="144" t="s">
        <v>1725</v>
      </c>
      <c r="G184" s="144" t="s">
        <v>1726</v>
      </c>
      <c r="H184" s="193" t="s">
        <v>1727</v>
      </c>
      <c r="I184" s="193" t="s">
        <v>1728</v>
      </c>
    </row>
    <row r="185" spans="1:9">
      <c r="A185" s="124" t="s">
        <v>1215</v>
      </c>
      <c r="B185" s="193"/>
      <c r="C185" s="144"/>
      <c r="D185" s="1" t="s">
        <v>433</v>
      </c>
      <c r="E185" s="144" t="s">
        <v>1698</v>
      </c>
      <c r="F185" s="144" t="s">
        <v>1729</v>
      </c>
      <c r="G185" s="144"/>
      <c r="H185" s="193" t="s">
        <v>1730</v>
      </c>
      <c r="I185" s="193" t="s">
        <v>1731</v>
      </c>
    </row>
    <row r="186" spans="1:9">
      <c r="A186" s="124" t="s">
        <v>1232</v>
      </c>
      <c r="B186" s="193"/>
      <c r="C186" s="144"/>
      <c r="D186" s="1"/>
      <c r="E186" s="144" t="s">
        <v>1240</v>
      </c>
      <c r="F186" s="144" t="s">
        <v>1732</v>
      </c>
      <c r="G186" s="144" t="s">
        <v>1733</v>
      </c>
      <c r="H186" s="193" t="s">
        <v>1734</v>
      </c>
      <c r="I186" s="193" t="s">
        <v>1735</v>
      </c>
    </row>
    <row r="187" spans="1:9">
      <c r="A187" s="124" t="s">
        <v>1226</v>
      </c>
      <c r="B187" s="193"/>
      <c r="C187" s="194"/>
      <c r="D187" s="1"/>
      <c r="E187" s="144" t="s">
        <v>1240</v>
      </c>
      <c r="F187" s="144" t="s">
        <v>1736</v>
      </c>
      <c r="G187" s="144" t="s">
        <v>1160</v>
      </c>
      <c r="H187" s="193" t="s">
        <v>1737</v>
      </c>
      <c r="I187" s="193" t="s">
        <v>1738</v>
      </c>
    </row>
    <row r="188" spans="1:9" ht="16.5" customHeight="1">
      <c r="A188" s="124" t="s">
        <v>1232</v>
      </c>
      <c r="B188" s="193"/>
      <c r="C188" s="194"/>
      <c r="D188" s="1" t="s">
        <v>567</v>
      </c>
      <c r="E188" s="144" t="s">
        <v>1565</v>
      </c>
      <c r="F188" s="144" t="s">
        <v>1739</v>
      </c>
      <c r="G188" s="144" t="s">
        <v>1740</v>
      </c>
      <c r="H188" s="193" t="s">
        <v>1741</v>
      </c>
      <c r="I188" s="193" t="s">
        <v>1742</v>
      </c>
    </row>
    <row r="189" spans="1:9" ht="16.5" customHeight="1">
      <c r="A189" s="124" t="s">
        <v>1232</v>
      </c>
      <c r="B189" s="193"/>
      <c r="C189" s="144"/>
      <c r="D189" s="144"/>
      <c r="E189" s="144" t="s">
        <v>1565</v>
      </c>
      <c r="F189" s="144" t="s">
        <v>1743</v>
      </c>
      <c r="G189" s="144" t="s">
        <v>1744</v>
      </c>
      <c r="H189" s="151" t="s">
        <v>1745</v>
      </c>
      <c r="I189" s="151" t="s">
        <v>1746</v>
      </c>
    </row>
    <row r="190" spans="1:9" ht="16.5" customHeight="1">
      <c r="A190" s="124" t="s">
        <v>1226</v>
      </c>
      <c r="B190" s="193"/>
      <c r="C190" s="144"/>
      <c r="D190" s="144"/>
      <c r="E190" s="144" t="s">
        <v>1565</v>
      </c>
      <c r="F190" s="144" t="s">
        <v>1747</v>
      </c>
      <c r="G190" s="144" t="s">
        <v>1748</v>
      </c>
      <c r="H190" s="193" t="s">
        <v>1749</v>
      </c>
      <c r="I190" s="193" t="s">
        <v>1750</v>
      </c>
    </row>
    <row r="191" spans="1:9" ht="16.5" customHeight="1">
      <c r="A191" s="124" t="s">
        <v>1254</v>
      </c>
      <c r="B191" s="193"/>
      <c r="C191" s="144"/>
      <c r="D191" s="1" t="s">
        <v>567</v>
      </c>
      <c r="E191" s="144" t="s">
        <v>227</v>
      </c>
      <c r="F191" s="144" t="s">
        <v>1751</v>
      </c>
      <c r="G191" s="144"/>
      <c r="H191" s="193" t="s">
        <v>1752</v>
      </c>
      <c r="I191" s="193" t="s">
        <v>1753</v>
      </c>
    </row>
    <row r="192" spans="1:9" ht="16.5" customHeight="1">
      <c r="A192" s="124" t="s">
        <v>1257</v>
      </c>
      <c r="B192" s="193"/>
      <c r="C192" s="144"/>
      <c r="D192" s="144"/>
      <c r="E192" s="144" t="s">
        <v>1240</v>
      </c>
      <c r="F192" s="144" t="s">
        <v>1754</v>
      </c>
      <c r="G192" s="144" t="s">
        <v>1755</v>
      </c>
      <c r="H192" s="193" t="s">
        <v>1756</v>
      </c>
      <c r="I192" s="193" t="s">
        <v>1757</v>
      </c>
    </row>
    <row r="193" spans="1:9" s="115" customFormat="1" ht="16.5" customHeight="1">
      <c r="A193" s="124" t="s">
        <v>1219</v>
      </c>
      <c r="B193" s="193" t="s">
        <v>1758</v>
      </c>
      <c r="C193" s="144" t="s">
        <v>1239</v>
      </c>
      <c r="D193" s="144"/>
      <c r="E193" s="144" t="s">
        <v>1240</v>
      </c>
      <c r="F193" s="144" t="s">
        <v>1759</v>
      </c>
      <c r="G193" s="144" t="s">
        <v>1760</v>
      </c>
      <c r="H193" s="193" t="s">
        <v>1761</v>
      </c>
      <c r="I193" s="193" t="s">
        <v>1762</v>
      </c>
    </row>
    <row r="194" spans="1:9">
      <c r="A194" s="124" t="s">
        <v>1257</v>
      </c>
      <c r="B194" s="193"/>
      <c r="C194" s="144"/>
      <c r="D194" s="144"/>
      <c r="E194" s="144" t="s">
        <v>227</v>
      </c>
      <c r="F194" s="144" t="s">
        <v>1763</v>
      </c>
      <c r="G194" s="144"/>
      <c r="H194" s="193" t="s">
        <v>1764</v>
      </c>
      <c r="I194" s="193" t="s">
        <v>1765</v>
      </c>
    </row>
    <row r="195" spans="1:9" ht="16.5" customHeight="1">
      <c r="A195" s="124" t="s">
        <v>1219</v>
      </c>
      <c r="B195" s="193"/>
      <c r="C195" s="144"/>
      <c r="D195" s="144"/>
      <c r="E195" s="144" t="s">
        <v>1565</v>
      </c>
      <c r="F195" s="144" t="s">
        <v>1766</v>
      </c>
      <c r="G195" s="144" t="s">
        <v>1767</v>
      </c>
      <c r="H195" s="193" t="s">
        <v>1768</v>
      </c>
      <c r="I195" s="193" t="s">
        <v>1769</v>
      </c>
    </row>
    <row r="196" spans="1:9" ht="16.5" customHeight="1">
      <c r="A196" s="124" t="s">
        <v>1257</v>
      </c>
      <c r="B196" s="193"/>
      <c r="C196" s="144"/>
      <c r="D196" s="144"/>
      <c r="E196" s="144" t="s">
        <v>1565</v>
      </c>
      <c r="F196" s="144" t="s">
        <v>1770</v>
      </c>
      <c r="G196" s="144" t="s">
        <v>1771</v>
      </c>
      <c r="H196" s="193" t="s">
        <v>1772</v>
      </c>
      <c r="I196" s="193" t="s">
        <v>1773</v>
      </c>
    </row>
    <row r="197" spans="1:9" ht="16.5" customHeight="1">
      <c r="A197" s="124" t="s">
        <v>1215</v>
      </c>
      <c r="B197" s="193"/>
      <c r="C197" s="144"/>
      <c r="D197" s="144"/>
      <c r="E197" s="144" t="s">
        <v>1240</v>
      </c>
      <c r="F197" s="144" t="s">
        <v>1774</v>
      </c>
      <c r="G197" s="144" t="s">
        <v>1775</v>
      </c>
      <c r="H197" s="193" t="s">
        <v>1776</v>
      </c>
      <c r="I197" s="193" t="s">
        <v>1777</v>
      </c>
    </row>
    <row r="198" spans="1:9" ht="16.5" customHeight="1">
      <c r="A198" s="124" t="s">
        <v>1226</v>
      </c>
      <c r="B198" s="193"/>
      <c r="C198" s="144"/>
      <c r="D198" s="144"/>
      <c r="E198" s="144" t="s">
        <v>1698</v>
      </c>
      <c r="F198" s="144" t="s">
        <v>1778</v>
      </c>
      <c r="G198" s="144" t="s">
        <v>1779</v>
      </c>
      <c r="H198" s="193" t="s">
        <v>1780</v>
      </c>
      <c r="I198" s="193" t="s">
        <v>1781</v>
      </c>
    </row>
    <row r="199" spans="1:9" ht="16.5" customHeight="1">
      <c r="A199" s="124" t="s">
        <v>1215</v>
      </c>
      <c r="B199" s="193"/>
      <c r="C199" s="144"/>
      <c r="D199" s="144"/>
      <c r="E199" s="144" t="s">
        <v>1565</v>
      </c>
      <c r="F199" s="144" t="s">
        <v>1782</v>
      </c>
      <c r="G199" s="144" t="s">
        <v>1783</v>
      </c>
      <c r="H199" s="193" t="s">
        <v>1784</v>
      </c>
      <c r="I199" s="193" t="s">
        <v>1785</v>
      </c>
    </row>
    <row r="200" spans="1:9" s="140" customFormat="1" ht="16.5" customHeight="1">
      <c r="A200" s="124" t="s">
        <v>1257</v>
      </c>
      <c r="B200" s="192"/>
      <c r="C200" s="162"/>
      <c r="D200" s="162"/>
      <c r="E200" s="162" t="s">
        <v>1565</v>
      </c>
      <c r="F200" s="162" t="s">
        <v>413</v>
      </c>
      <c r="G200" s="162" t="s">
        <v>1786</v>
      </c>
      <c r="H200" s="192" t="s">
        <v>1787</v>
      </c>
      <c r="I200" s="192" t="s">
        <v>1788</v>
      </c>
    </row>
    <row r="201" spans="1:9" s="140" customFormat="1" ht="16.5" customHeight="1">
      <c r="A201" s="124" t="s">
        <v>1226</v>
      </c>
      <c r="B201" s="192"/>
      <c r="C201" s="162"/>
      <c r="D201" s="162"/>
      <c r="E201" s="162" t="s">
        <v>1565</v>
      </c>
      <c r="F201" s="162" t="s">
        <v>1789</v>
      </c>
      <c r="G201" s="162" t="s">
        <v>1790</v>
      </c>
      <c r="H201" s="192" t="s">
        <v>1791</v>
      </c>
      <c r="I201" s="192" t="s">
        <v>1792</v>
      </c>
    </row>
    <row r="202" spans="1:9" s="140" customFormat="1" ht="16.5" customHeight="1">
      <c r="A202" s="124" t="s">
        <v>1257</v>
      </c>
      <c r="B202" s="192"/>
      <c r="C202" s="162"/>
      <c r="D202" s="162"/>
      <c r="E202" s="162" t="s">
        <v>1240</v>
      </c>
      <c r="F202" s="162" t="s">
        <v>1793</v>
      </c>
      <c r="G202" s="162" t="s">
        <v>1794</v>
      </c>
      <c r="H202" s="192" t="s">
        <v>1795</v>
      </c>
      <c r="I202" s="192" t="s">
        <v>1796</v>
      </c>
    </row>
    <row r="203" spans="1:9" s="140" customFormat="1" ht="16.5" customHeight="1">
      <c r="A203" s="124" t="s">
        <v>1226</v>
      </c>
      <c r="B203" s="192"/>
      <c r="C203" s="162"/>
      <c r="D203" s="162"/>
      <c r="E203" s="162" t="s">
        <v>1334</v>
      </c>
      <c r="F203" s="162" t="s">
        <v>1797</v>
      </c>
      <c r="G203" s="162"/>
      <c r="H203" s="192" t="s">
        <v>1798</v>
      </c>
      <c r="I203" s="192" t="s">
        <v>1799</v>
      </c>
    </row>
    <row r="204" spans="1:9" ht="16.5" customHeight="1">
      <c r="A204" s="124" t="s">
        <v>1215</v>
      </c>
      <c r="B204" s="193"/>
      <c r="C204" s="144"/>
      <c r="D204" s="144"/>
      <c r="E204" s="144" t="s">
        <v>1800</v>
      </c>
      <c r="F204" s="144" t="s">
        <v>1801</v>
      </c>
      <c r="G204" s="144" t="s">
        <v>1802</v>
      </c>
      <c r="H204" s="193" t="s">
        <v>1803</v>
      </c>
      <c r="I204" s="193" t="s">
        <v>1804</v>
      </c>
    </row>
    <row r="205" spans="1:9" ht="16.5" customHeight="1">
      <c r="A205" s="124" t="s">
        <v>1215</v>
      </c>
      <c r="B205" s="193"/>
      <c r="C205" s="144"/>
      <c r="D205" s="144"/>
      <c r="E205" s="144" t="s">
        <v>445</v>
      </c>
      <c r="F205" s="144" t="s">
        <v>1805</v>
      </c>
      <c r="G205" s="144" t="s">
        <v>1806</v>
      </c>
      <c r="H205" s="193" t="s">
        <v>1807</v>
      </c>
      <c r="I205" s="193" t="s">
        <v>1808</v>
      </c>
    </row>
    <row r="206" spans="1:9" s="140" customFormat="1" ht="16.5" customHeight="1">
      <c r="A206" s="124" t="s">
        <v>1257</v>
      </c>
      <c r="B206" s="192"/>
      <c r="C206" s="162"/>
      <c r="D206" s="162"/>
      <c r="E206" s="162" t="s">
        <v>1565</v>
      </c>
      <c r="F206" s="162" t="s">
        <v>1809</v>
      </c>
      <c r="G206" s="162" t="s">
        <v>1810</v>
      </c>
      <c r="H206" s="151" t="s">
        <v>1811</v>
      </c>
      <c r="I206" s="151" t="s">
        <v>1812</v>
      </c>
    </row>
    <row r="207" spans="1:9" s="140" customFormat="1" ht="16.5" customHeight="1">
      <c r="A207" s="124" t="s">
        <v>1219</v>
      </c>
      <c r="B207" s="192"/>
      <c r="C207" s="162"/>
      <c r="D207" s="162"/>
      <c r="E207" s="162" t="s">
        <v>1240</v>
      </c>
      <c r="F207" s="162" t="s">
        <v>1813</v>
      </c>
      <c r="G207" s="162" t="s">
        <v>1814</v>
      </c>
      <c r="H207" s="192" t="s">
        <v>1815</v>
      </c>
      <c r="I207" s="192" t="s">
        <v>1816</v>
      </c>
    </row>
    <row r="208" spans="1:9" ht="16.5" customHeight="1">
      <c r="A208" s="124" t="s">
        <v>1219</v>
      </c>
      <c r="B208" s="193"/>
      <c r="C208" s="144"/>
      <c r="D208" s="144"/>
      <c r="E208" s="144" t="s">
        <v>1565</v>
      </c>
      <c r="F208" s="144" t="s">
        <v>1817</v>
      </c>
      <c r="G208" s="144" t="s">
        <v>1818</v>
      </c>
      <c r="H208" s="193" t="s">
        <v>1819</v>
      </c>
      <c r="I208" s="193" t="s">
        <v>1820</v>
      </c>
    </row>
    <row r="209" spans="1:9" ht="16.5" customHeight="1">
      <c r="A209" s="124" t="s">
        <v>1254</v>
      </c>
      <c r="B209" s="193"/>
      <c r="C209" s="144"/>
      <c r="D209" s="1" t="s">
        <v>567</v>
      </c>
      <c r="E209" s="144" t="s">
        <v>1565</v>
      </c>
      <c r="F209" s="124" t="s">
        <v>1821</v>
      </c>
      <c r="G209" s="124" t="s">
        <v>1822</v>
      </c>
      <c r="H209" s="172" t="s">
        <v>1823</v>
      </c>
      <c r="I209" s="141" t="s">
        <v>1824</v>
      </c>
    </row>
    <row r="210" spans="1:9" ht="16.5" customHeight="1">
      <c r="A210" s="124" t="s">
        <v>1219</v>
      </c>
      <c r="B210" s="193"/>
      <c r="C210" s="144"/>
      <c r="D210" s="144"/>
      <c r="E210" s="144" t="s">
        <v>445</v>
      </c>
      <c r="F210" s="144" t="s">
        <v>1825</v>
      </c>
      <c r="G210" s="144" t="s">
        <v>1826</v>
      </c>
      <c r="H210" s="193" t="s">
        <v>1827</v>
      </c>
      <c r="I210" s="193" t="s">
        <v>1828</v>
      </c>
    </row>
    <row r="211" spans="1:9" ht="16.5" customHeight="1">
      <c r="A211" s="124" t="s">
        <v>1232</v>
      </c>
      <c r="B211" s="193"/>
      <c r="C211" s="144"/>
      <c r="D211" s="144"/>
      <c r="E211" s="144" t="s">
        <v>1565</v>
      </c>
      <c r="F211" s="144" t="s">
        <v>1829</v>
      </c>
      <c r="G211" s="144" t="s">
        <v>1830</v>
      </c>
      <c r="H211" s="193" t="s">
        <v>1831</v>
      </c>
      <c r="I211" s="193" t="s">
        <v>1832</v>
      </c>
    </row>
    <row r="212" spans="1:9" ht="16.5" customHeight="1">
      <c r="A212" s="124" t="s">
        <v>1257</v>
      </c>
      <c r="B212" s="193"/>
      <c r="C212" s="144"/>
      <c r="D212" s="144"/>
      <c r="E212" s="144" t="s">
        <v>1240</v>
      </c>
      <c r="F212" s="144" t="s">
        <v>1833</v>
      </c>
      <c r="G212" s="144" t="s">
        <v>1834</v>
      </c>
      <c r="H212" s="193" t="s">
        <v>1835</v>
      </c>
      <c r="I212" s="193" t="s">
        <v>1836</v>
      </c>
    </row>
    <row r="213" spans="1:9" ht="16.5" customHeight="1">
      <c r="A213" s="124" t="s">
        <v>1226</v>
      </c>
      <c r="B213" s="193" t="s">
        <v>1837</v>
      </c>
      <c r="C213" s="144" t="s">
        <v>1596</v>
      </c>
      <c r="D213" s="144"/>
      <c r="E213" s="144" t="s">
        <v>1838</v>
      </c>
      <c r="F213" s="144" t="s">
        <v>592</v>
      </c>
      <c r="G213" s="144" t="s">
        <v>1839</v>
      </c>
      <c r="H213" s="193" t="s">
        <v>1840</v>
      </c>
      <c r="I213" s="193" t="s">
        <v>1841</v>
      </c>
    </row>
    <row r="214" spans="1:9" ht="16.5" customHeight="1">
      <c r="A214" s="124" t="s">
        <v>1254</v>
      </c>
      <c r="B214" s="193"/>
      <c r="C214" s="144"/>
      <c r="D214" s="144"/>
      <c r="E214" s="144" t="s">
        <v>1838</v>
      </c>
      <c r="F214" s="144" t="s">
        <v>594</v>
      </c>
      <c r="G214" s="144" t="s">
        <v>1842</v>
      </c>
      <c r="H214" s="193" t="s">
        <v>1843</v>
      </c>
      <c r="I214" s="193" t="s">
        <v>1844</v>
      </c>
    </row>
    <row r="215" spans="1:9" ht="16.5" customHeight="1">
      <c r="A215" s="124" t="s">
        <v>1219</v>
      </c>
      <c r="B215" s="193"/>
      <c r="C215" s="144"/>
      <c r="D215" s="144"/>
      <c r="E215" s="144" t="s">
        <v>1698</v>
      </c>
      <c r="F215" s="144" t="s">
        <v>1845</v>
      </c>
      <c r="G215" s="144"/>
      <c r="H215" s="193" t="s">
        <v>1717</v>
      </c>
      <c r="I215" s="193" t="s">
        <v>1847</v>
      </c>
    </row>
    <row r="216" spans="1:9" s="116" customFormat="1" ht="16.5" customHeight="1">
      <c r="A216" s="124" t="s">
        <v>1257</v>
      </c>
      <c r="B216" s="193"/>
      <c r="C216" s="193"/>
      <c r="D216" s="144"/>
      <c r="E216" s="144" t="s">
        <v>1838</v>
      </c>
      <c r="F216" s="144" t="s">
        <v>1848</v>
      </c>
      <c r="G216" s="144" t="s">
        <v>1849</v>
      </c>
      <c r="H216" s="193" t="s">
        <v>1846</v>
      </c>
      <c r="I216" s="193" t="s">
        <v>1850</v>
      </c>
    </row>
    <row r="217" spans="1:9" s="116" customFormat="1" ht="16.5" customHeight="1">
      <c r="A217" s="124" t="s">
        <v>1215</v>
      </c>
      <c r="B217" s="193"/>
      <c r="C217" s="193"/>
      <c r="D217" s="144"/>
      <c r="E217" s="144" t="s">
        <v>1838</v>
      </c>
      <c r="F217" s="144" t="s">
        <v>1851</v>
      </c>
      <c r="G217" s="144" t="s">
        <v>1852</v>
      </c>
      <c r="H217" s="193" t="s">
        <v>1853</v>
      </c>
      <c r="I217" s="193" t="s">
        <v>1854</v>
      </c>
    </row>
    <row r="218" spans="1:9" s="116" customFormat="1" ht="16.5" customHeight="1">
      <c r="A218" s="124" t="s">
        <v>1219</v>
      </c>
      <c r="B218" s="193"/>
      <c r="C218" s="193"/>
      <c r="D218" s="144"/>
      <c r="E218" s="144" t="s">
        <v>1565</v>
      </c>
      <c r="F218" s="144" t="s">
        <v>1855</v>
      </c>
      <c r="G218" s="144" t="s">
        <v>1856</v>
      </c>
      <c r="H218" s="193" t="s">
        <v>1857</v>
      </c>
      <c r="I218" s="193" t="s">
        <v>1858</v>
      </c>
    </row>
    <row r="219" spans="1:9" s="116" customFormat="1" ht="16.5" customHeight="1">
      <c r="A219" s="124" t="s">
        <v>1232</v>
      </c>
      <c r="B219" s="193"/>
      <c r="C219" s="144"/>
      <c r="D219" s="144"/>
      <c r="E219" s="144" t="s">
        <v>1838</v>
      </c>
      <c r="F219" s="144" t="s">
        <v>1859</v>
      </c>
      <c r="G219" s="144" t="s">
        <v>1154</v>
      </c>
      <c r="H219" s="193" t="s">
        <v>1860</v>
      </c>
      <c r="I219" s="193" t="s">
        <v>1861</v>
      </c>
    </row>
    <row r="220" spans="1:9" s="116" customFormat="1" ht="16.5" customHeight="1">
      <c r="A220" s="124" t="s">
        <v>1232</v>
      </c>
      <c r="B220" s="193"/>
      <c r="C220" s="144"/>
      <c r="D220" s="144"/>
      <c r="E220" s="144" t="s">
        <v>1334</v>
      </c>
      <c r="F220" s="144" t="s">
        <v>1862</v>
      </c>
      <c r="G220" s="144" t="s">
        <v>1863</v>
      </c>
      <c r="H220" s="193" t="s">
        <v>1864</v>
      </c>
      <c r="I220" s="193" t="s">
        <v>1865</v>
      </c>
    </row>
    <row r="221" spans="1:9" s="116" customFormat="1" ht="16.5" customHeight="1">
      <c r="A221" s="124" t="s">
        <v>1215</v>
      </c>
      <c r="B221" s="193"/>
      <c r="C221" s="144"/>
      <c r="D221" s="144"/>
      <c r="E221" s="144" t="s">
        <v>1838</v>
      </c>
      <c r="F221" s="144" t="s">
        <v>1866</v>
      </c>
      <c r="G221" s="144" t="s">
        <v>1867</v>
      </c>
      <c r="H221" s="193" t="s">
        <v>1868</v>
      </c>
      <c r="I221" s="193" t="s">
        <v>1869</v>
      </c>
    </row>
    <row r="222" spans="1:9" s="116" customFormat="1" ht="16.5" customHeight="1">
      <c r="A222" s="124" t="s">
        <v>1226</v>
      </c>
      <c r="B222" s="193"/>
      <c r="C222" s="144"/>
      <c r="D222" s="144"/>
      <c r="E222" s="144" t="s">
        <v>1838</v>
      </c>
      <c r="F222" s="144" t="s">
        <v>1870</v>
      </c>
      <c r="G222" s="144" t="s">
        <v>1871</v>
      </c>
      <c r="H222" s="193" t="s">
        <v>1872</v>
      </c>
      <c r="I222" s="193" t="s">
        <v>1873</v>
      </c>
    </row>
    <row r="223" spans="1:9" s="116" customFormat="1" ht="16.5" customHeight="1">
      <c r="A223" s="124" t="s">
        <v>1226</v>
      </c>
      <c r="B223" s="193"/>
      <c r="C223" s="144"/>
      <c r="D223" s="144"/>
      <c r="E223" s="144" t="s">
        <v>1838</v>
      </c>
      <c r="F223" s="144" t="s">
        <v>1874</v>
      </c>
      <c r="G223" s="144" t="s">
        <v>1875</v>
      </c>
      <c r="H223" s="193" t="s">
        <v>1876</v>
      </c>
      <c r="I223" s="193" t="s">
        <v>1877</v>
      </c>
    </row>
    <row r="224" spans="1:9" s="116" customFormat="1" ht="16.5" customHeight="1">
      <c r="A224" s="124" t="s">
        <v>1257</v>
      </c>
      <c r="B224" s="193"/>
      <c r="C224" s="144"/>
      <c r="D224" s="144"/>
      <c r="E224" s="144" t="s">
        <v>445</v>
      </c>
      <c r="F224" s="144" t="s">
        <v>1878</v>
      </c>
      <c r="G224" s="144" t="s">
        <v>1879</v>
      </c>
      <c r="H224" s="193" t="s">
        <v>1876</v>
      </c>
      <c r="I224" s="193" t="s">
        <v>1877</v>
      </c>
    </row>
    <row r="225" spans="1:9" s="116" customFormat="1" ht="16.5" customHeight="1">
      <c r="A225" s="124" t="s">
        <v>1219</v>
      </c>
      <c r="B225" s="193"/>
      <c r="C225" s="144"/>
      <c r="D225" s="144"/>
      <c r="E225" s="144" t="s">
        <v>1838</v>
      </c>
      <c r="F225" s="144" t="s">
        <v>1169</v>
      </c>
      <c r="G225" s="144" t="s">
        <v>1880</v>
      </c>
      <c r="H225" s="193" t="s">
        <v>1881</v>
      </c>
      <c r="I225" s="193" t="s">
        <v>1882</v>
      </c>
    </row>
    <row r="226" spans="1:9" s="116" customFormat="1" ht="16.5" customHeight="1">
      <c r="A226" s="124" t="s">
        <v>1215</v>
      </c>
      <c r="B226" s="193"/>
      <c r="C226" s="144"/>
      <c r="D226" s="144"/>
      <c r="E226" s="144" t="s">
        <v>1838</v>
      </c>
      <c r="F226" s="144" t="s">
        <v>1883</v>
      </c>
      <c r="G226" s="144" t="s">
        <v>1884</v>
      </c>
      <c r="H226" s="162" t="s">
        <v>1885</v>
      </c>
      <c r="I226" s="193" t="s">
        <v>1886</v>
      </c>
    </row>
    <row r="227" spans="1:9" s="116" customFormat="1" ht="16.5" customHeight="1">
      <c r="A227" s="124" t="s">
        <v>1257</v>
      </c>
      <c r="B227" s="193"/>
      <c r="C227" s="144"/>
      <c r="D227" s="144"/>
      <c r="E227" s="144" t="s">
        <v>1838</v>
      </c>
      <c r="F227" s="144" t="s">
        <v>1887</v>
      </c>
      <c r="G227" s="144" t="s">
        <v>1888</v>
      </c>
      <c r="H227" s="192" t="s">
        <v>1889</v>
      </c>
      <c r="I227" s="192" t="s">
        <v>1890</v>
      </c>
    </row>
    <row r="228" spans="1:9" s="116" customFormat="1" ht="16.5" customHeight="1">
      <c r="A228" s="124" t="s">
        <v>1257</v>
      </c>
      <c r="B228" s="193"/>
      <c r="C228" s="144"/>
      <c r="D228" s="144"/>
      <c r="E228" s="144" t="s">
        <v>1838</v>
      </c>
      <c r="F228" s="144" t="s">
        <v>1891</v>
      </c>
      <c r="G228" s="144" t="s">
        <v>1892</v>
      </c>
      <c r="H228" s="192" t="s">
        <v>1893</v>
      </c>
      <c r="I228" s="192" t="s">
        <v>1894</v>
      </c>
    </row>
    <row r="229" spans="1:9" s="116" customFormat="1" ht="16.5" customHeight="1">
      <c r="A229" s="124" t="s">
        <v>1226</v>
      </c>
      <c r="B229" s="193"/>
      <c r="C229" s="144"/>
      <c r="D229" s="144"/>
      <c r="E229" s="144" t="s">
        <v>1698</v>
      </c>
      <c r="F229" s="144" t="s">
        <v>1895</v>
      </c>
      <c r="G229" s="144"/>
      <c r="H229" s="192" t="s">
        <v>1896</v>
      </c>
      <c r="I229" s="192" t="s">
        <v>1897</v>
      </c>
    </row>
    <row r="230" spans="1:9" s="116" customFormat="1" ht="16.5" customHeight="1">
      <c r="A230" s="124" t="s">
        <v>1215</v>
      </c>
      <c r="B230" s="193"/>
      <c r="C230" s="144"/>
      <c r="D230" s="144"/>
      <c r="E230" s="144" t="s">
        <v>445</v>
      </c>
      <c r="F230" s="144" t="s">
        <v>1898</v>
      </c>
      <c r="G230" s="144" t="s">
        <v>1899</v>
      </c>
      <c r="H230" s="192" t="s">
        <v>1900</v>
      </c>
      <c r="I230" s="192" t="s">
        <v>1901</v>
      </c>
    </row>
    <row r="231" spans="1:9" s="116" customFormat="1" ht="16.5" customHeight="1">
      <c r="A231" s="124" t="s">
        <v>1902</v>
      </c>
      <c r="B231" s="193"/>
      <c r="C231" s="144"/>
      <c r="D231" s="144"/>
      <c r="E231" s="144" t="s">
        <v>1698</v>
      </c>
      <c r="F231" s="144" t="s">
        <v>1903</v>
      </c>
      <c r="G231" s="144"/>
      <c r="H231" s="192" t="s">
        <v>1904</v>
      </c>
      <c r="I231" s="192" t="s">
        <v>1905</v>
      </c>
    </row>
    <row r="232" spans="1:9" s="116" customFormat="1" ht="16.5" customHeight="1">
      <c r="A232" s="124" t="s">
        <v>1257</v>
      </c>
      <c r="B232" s="193"/>
      <c r="C232" s="144"/>
      <c r="D232" s="144"/>
      <c r="E232" s="144" t="s">
        <v>1838</v>
      </c>
      <c r="F232" s="144" t="s">
        <v>1906</v>
      </c>
      <c r="G232" s="144" t="s">
        <v>1907</v>
      </c>
      <c r="H232" s="192" t="s">
        <v>1908</v>
      </c>
      <c r="I232" s="192" t="s">
        <v>1909</v>
      </c>
    </row>
    <row r="233" spans="1:9" s="116" customFormat="1" ht="16.5" customHeight="1">
      <c r="A233" s="124" t="s">
        <v>1219</v>
      </c>
      <c r="B233" s="193"/>
      <c r="C233" s="144"/>
      <c r="D233" s="144"/>
      <c r="E233" s="144" t="s">
        <v>1698</v>
      </c>
      <c r="F233" s="144" t="s">
        <v>1910</v>
      </c>
      <c r="G233" s="144"/>
      <c r="H233" s="192" t="s">
        <v>1911</v>
      </c>
      <c r="I233" s="192" t="s">
        <v>1912</v>
      </c>
    </row>
    <row r="234" spans="1:9" s="116" customFormat="1" ht="16.5" customHeight="1">
      <c r="A234" s="162" t="s">
        <v>1902</v>
      </c>
      <c r="B234" s="193"/>
      <c r="C234" s="144"/>
      <c r="D234" s="144"/>
      <c r="E234" s="144" t="s">
        <v>1698</v>
      </c>
      <c r="F234" s="144" t="s">
        <v>1913</v>
      </c>
      <c r="G234" s="144"/>
      <c r="H234" s="192" t="s">
        <v>1914</v>
      </c>
      <c r="I234" s="192" t="s">
        <v>1915</v>
      </c>
    </row>
    <row r="235" spans="1:9" s="116" customFormat="1" ht="16.5" customHeight="1">
      <c r="A235" s="113"/>
      <c r="B235" s="114"/>
      <c r="C235" s="115"/>
      <c r="D235" s="115"/>
      <c r="E235" s="115"/>
      <c r="F235" s="115"/>
      <c r="G235" s="115"/>
      <c r="H235" s="202"/>
      <c r="I235" s="202"/>
    </row>
    <row r="236" spans="1:9" s="116" customFormat="1" ht="16.5" customHeight="1">
      <c r="A236" s="113"/>
      <c r="B236" s="114"/>
      <c r="C236" s="115"/>
      <c r="D236" s="115"/>
      <c r="E236" s="115"/>
      <c r="F236" s="115"/>
      <c r="G236" s="115"/>
      <c r="H236" s="202"/>
      <c r="I236" s="202"/>
    </row>
    <row r="237" spans="1:9" s="116" customFormat="1" ht="16.5" customHeight="1">
      <c r="A237" s="113"/>
      <c r="B237" s="114"/>
      <c r="C237" s="115"/>
      <c r="D237" s="115"/>
      <c r="E237" s="115"/>
      <c r="F237" s="115"/>
      <c r="G237" s="115"/>
      <c r="H237" s="202"/>
      <c r="I237" s="202"/>
    </row>
    <row r="238" spans="1:9" s="116" customFormat="1" ht="16.5" customHeight="1">
      <c r="A238" s="113"/>
      <c r="B238" s="114"/>
      <c r="C238" s="115"/>
      <c r="D238" s="115"/>
      <c r="E238" s="115"/>
      <c r="F238" s="115"/>
      <c r="G238" s="115"/>
      <c r="H238" s="202"/>
      <c r="I238" s="202"/>
    </row>
    <row r="239" spans="1:9" s="116" customFormat="1" ht="16.5" customHeight="1">
      <c r="A239" s="113"/>
      <c r="B239" s="114"/>
      <c r="C239" s="115"/>
      <c r="D239" s="115"/>
      <c r="E239" s="115"/>
      <c r="F239" s="115"/>
      <c r="G239" s="115"/>
      <c r="H239" s="202"/>
      <c r="I239" s="202"/>
    </row>
    <row r="240" spans="1:9" s="116" customFormat="1" ht="16.5" customHeight="1">
      <c r="A240" s="113"/>
      <c r="B240" s="114"/>
      <c r="C240" s="115"/>
      <c r="D240" s="115"/>
      <c r="E240" s="115"/>
      <c r="F240" s="115"/>
      <c r="G240" s="115"/>
      <c r="H240" s="202"/>
      <c r="I240" s="202"/>
    </row>
    <row r="241" spans="1:9" s="116" customFormat="1" ht="16.5" customHeight="1">
      <c r="A241" s="113"/>
      <c r="B241" s="114"/>
      <c r="C241" s="115"/>
      <c r="D241" s="115"/>
      <c r="E241" s="115"/>
      <c r="F241" s="115"/>
      <c r="G241" s="115"/>
      <c r="H241" s="202"/>
      <c r="I241" s="202"/>
    </row>
    <row r="242" spans="1:9" s="116" customFormat="1" ht="16.5" customHeight="1">
      <c r="A242" s="113"/>
      <c r="B242" s="114"/>
      <c r="C242" s="115"/>
      <c r="D242" s="115"/>
      <c r="E242" s="115"/>
      <c r="F242" s="115"/>
      <c r="G242" s="115"/>
      <c r="H242" s="202"/>
      <c r="I242" s="202"/>
    </row>
    <row r="243" spans="1:9" s="116" customFormat="1" ht="16.5" customHeight="1">
      <c r="A243" s="113"/>
      <c r="B243" s="114"/>
      <c r="C243" s="115"/>
      <c r="D243" s="115"/>
      <c r="E243" s="115"/>
      <c r="F243" s="115"/>
      <c r="G243" s="115"/>
      <c r="H243" s="202"/>
      <c r="I243" s="202"/>
    </row>
    <row r="244" spans="1:9" s="116" customFormat="1" ht="16.5" customHeight="1">
      <c r="A244" s="113"/>
      <c r="B244" s="114"/>
      <c r="C244" s="115"/>
      <c r="D244" s="115"/>
      <c r="E244" s="115"/>
      <c r="F244" s="115"/>
      <c r="G244" s="115"/>
      <c r="H244" s="114"/>
      <c r="I244" s="114"/>
    </row>
    <row r="245" spans="1:9" s="116" customFormat="1" ht="16.5" customHeight="1">
      <c r="A245" s="113"/>
      <c r="B245" s="114"/>
      <c r="C245" s="115"/>
      <c r="D245" s="115"/>
      <c r="E245" s="115"/>
      <c r="F245" s="115"/>
      <c r="G245" s="115"/>
      <c r="H245" s="114"/>
      <c r="I245" s="114"/>
    </row>
    <row r="246" spans="1:9" s="116" customFormat="1" ht="16.5" customHeight="1">
      <c r="A246" s="113"/>
      <c r="B246" s="114"/>
      <c r="C246" s="115"/>
      <c r="D246" s="115"/>
      <c r="E246" s="115"/>
      <c r="F246" s="115"/>
      <c r="G246" s="115"/>
      <c r="H246" s="114"/>
      <c r="I246" s="114"/>
    </row>
    <row r="247" spans="1:9" s="116" customFormat="1" ht="16.5" customHeight="1">
      <c r="A247" s="113"/>
      <c r="B247" s="114"/>
      <c r="C247" s="115"/>
      <c r="D247" s="115"/>
      <c r="E247" s="115"/>
      <c r="F247" s="115"/>
      <c r="G247" s="115"/>
      <c r="H247" s="114"/>
      <c r="I247" s="114"/>
    </row>
    <row r="248" spans="1:9" s="116" customFormat="1" ht="16.5" customHeight="1">
      <c r="A248" s="113"/>
      <c r="B248" s="114"/>
      <c r="C248" s="115"/>
      <c r="D248" s="115"/>
      <c r="E248" s="115"/>
      <c r="F248" s="115"/>
      <c r="G248" s="115"/>
      <c r="H248" s="114"/>
      <c r="I248" s="114"/>
    </row>
    <row r="249" spans="1:9" s="116" customFormat="1" ht="16.5" customHeight="1">
      <c r="A249" s="113"/>
      <c r="B249" s="114"/>
      <c r="C249" s="115"/>
      <c r="D249" s="115"/>
      <c r="E249" s="115"/>
      <c r="F249" s="115"/>
      <c r="G249" s="115"/>
      <c r="H249" s="114"/>
      <c r="I249" s="114"/>
    </row>
    <row r="250" spans="1:9" s="116" customFormat="1" ht="16.5" customHeight="1">
      <c r="A250" s="113"/>
      <c r="B250" s="114"/>
      <c r="C250" s="115"/>
      <c r="D250" s="115"/>
      <c r="E250" s="115"/>
      <c r="F250" s="115"/>
      <c r="G250" s="115"/>
      <c r="H250" s="114"/>
      <c r="I250" s="114"/>
    </row>
    <row r="251" spans="1:9" s="116" customFormat="1" ht="16.5" customHeight="1">
      <c r="A251" s="113"/>
      <c r="B251" s="114"/>
      <c r="C251" s="115"/>
      <c r="D251" s="115"/>
      <c r="E251" s="115"/>
      <c r="F251" s="115"/>
      <c r="G251" s="115"/>
      <c r="H251" s="114"/>
      <c r="I251" s="114"/>
    </row>
    <row r="252" spans="1:9" s="116" customFormat="1" ht="16.5" customHeight="1">
      <c r="A252" s="113"/>
      <c r="B252" s="114"/>
      <c r="C252" s="115"/>
      <c r="D252" s="115"/>
      <c r="E252" s="115"/>
      <c r="F252" s="115"/>
      <c r="G252" s="115"/>
      <c r="H252" s="114"/>
      <c r="I252" s="114"/>
    </row>
    <row r="253" spans="1:9" s="116" customFormat="1" ht="16.5" customHeight="1">
      <c r="A253" s="113"/>
      <c r="B253" s="114"/>
      <c r="C253" s="115"/>
      <c r="D253" s="115"/>
      <c r="E253" s="115"/>
      <c r="F253" s="115"/>
      <c r="G253" s="115"/>
      <c r="H253" s="114"/>
      <c r="I253" s="114"/>
    </row>
    <row r="254" spans="1:9" s="116" customFormat="1" ht="16.5" customHeight="1">
      <c r="A254" s="113"/>
      <c r="B254" s="114"/>
      <c r="C254" s="115"/>
      <c r="D254" s="115"/>
      <c r="E254" s="115"/>
      <c r="F254" s="115"/>
      <c r="G254" s="115"/>
      <c r="H254" s="114"/>
      <c r="I254" s="114"/>
    </row>
    <row r="255" spans="1:9" s="116" customFormat="1" ht="16.5" customHeight="1">
      <c r="A255" s="113"/>
      <c r="B255" s="114"/>
      <c r="C255" s="115"/>
      <c r="D255" s="115"/>
      <c r="E255" s="115"/>
      <c r="F255" s="115"/>
      <c r="G255" s="115"/>
      <c r="H255" s="114"/>
      <c r="I255" s="114"/>
    </row>
    <row r="256" spans="1:9" s="116" customFormat="1" ht="16.5" customHeight="1">
      <c r="A256" s="113"/>
      <c r="B256" s="114"/>
      <c r="C256" s="115"/>
      <c r="D256" s="115"/>
      <c r="E256" s="115"/>
      <c r="F256" s="115"/>
      <c r="G256" s="115"/>
      <c r="H256" s="114"/>
      <c r="I256" s="114"/>
    </row>
    <row r="257" spans="1:9" s="116" customFormat="1" ht="16.5" customHeight="1">
      <c r="A257" s="113"/>
      <c r="B257" s="114"/>
      <c r="C257" s="115"/>
      <c r="D257" s="115"/>
      <c r="E257" s="115"/>
      <c r="F257" s="115"/>
      <c r="G257" s="115"/>
      <c r="H257" s="114"/>
      <c r="I257" s="114"/>
    </row>
    <row r="258" spans="1:9" s="116" customFormat="1" ht="16.5" customHeight="1">
      <c r="A258" s="113"/>
      <c r="B258" s="114"/>
      <c r="C258" s="115"/>
      <c r="D258" s="115"/>
      <c r="E258" s="115"/>
      <c r="F258" s="115"/>
      <c r="G258" s="115"/>
      <c r="H258" s="114"/>
      <c r="I258" s="114"/>
    </row>
    <row r="259" spans="1:9" s="116" customFormat="1" ht="16.5" customHeight="1">
      <c r="A259" s="113"/>
      <c r="B259" s="114"/>
      <c r="C259" s="115"/>
      <c r="D259" s="115"/>
      <c r="E259" s="115"/>
      <c r="F259" s="115"/>
      <c r="G259" s="115"/>
      <c r="H259" s="114"/>
      <c r="I259" s="114"/>
    </row>
    <row r="260" spans="1:9" s="116" customFormat="1" ht="16.5" customHeight="1">
      <c r="A260" s="113"/>
      <c r="B260" s="114"/>
      <c r="C260" s="115"/>
      <c r="D260" s="115"/>
      <c r="E260" s="115"/>
      <c r="F260" s="115"/>
      <c r="G260" s="115"/>
      <c r="H260" s="114"/>
      <c r="I260" s="114"/>
    </row>
    <row r="261" spans="1:9" s="116" customFormat="1" ht="16.5" customHeight="1">
      <c r="A261" s="113"/>
      <c r="B261" s="114"/>
      <c r="C261" s="115"/>
      <c r="D261" s="115"/>
      <c r="E261" s="115"/>
      <c r="F261" s="115"/>
      <c r="G261" s="115"/>
      <c r="H261" s="114"/>
      <c r="I261" s="114"/>
    </row>
    <row r="262" spans="1:9" s="116" customFormat="1" ht="16.5" customHeight="1">
      <c r="A262" s="113"/>
      <c r="B262" s="114"/>
      <c r="C262" s="115"/>
      <c r="D262" s="115"/>
      <c r="E262" s="115"/>
      <c r="F262" s="115"/>
      <c r="G262" s="115"/>
      <c r="H262" s="114"/>
      <c r="I262" s="114"/>
    </row>
    <row r="263" spans="1:9" s="116" customFormat="1" ht="16.5" customHeight="1">
      <c r="A263" s="113"/>
      <c r="B263" s="114"/>
      <c r="C263" s="115"/>
      <c r="D263" s="115"/>
      <c r="E263" s="115"/>
      <c r="F263" s="115"/>
      <c r="G263" s="115"/>
      <c r="H263" s="114"/>
      <c r="I263" s="114"/>
    </row>
    <row r="264" spans="1:9" s="116" customFormat="1" ht="16.5" customHeight="1">
      <c r="A264" s="113"/>
      <c r="B264" s="114"/>
      <c r="C264" s="115"/>
      <c r="D264" s="115"/>
      <c r="E264" s="115"/>
      <c r="F264" s="115"/>
      <c r="G264" s="115"/>
      <c r="H264" s="114"/>
      <c r="I264" s="114"/>
    </row>
    <row r="265" spans="1:9" s="116" customFormat="1" ht="16.5" customHeight="1">
      <c r="A265" s="113"/>
      <c r="B265" s="114"/>
      <c r="C265" s="115"/>
      <c r="D265" s="115"/>
      <c r="E265" s="115"/>
      <c r="F265" s="115"/>
      <c r="G265" s="115"/>
      <c r="H265" s="114"/>
      <c r="I265" s="114"/>
    </row>
    <row r="266" spans="1:9" s="116" customFormat="1" ht="16.5" customHeight="1">
      <c r="A266" s="113"/>
      <c r="B266" s="114"/>
      <c r="C266" s="115"/>
      <c r="D266" s="115"/>
      <c r="E266" s="115"/>
      <c r="F266" s="115"/>
      <c r="G266" s="115"/>
      <c r="H266" s="114"/>
      <c r="I266" s="114"/>
    </row>
    <row r="267" spans="1:9" s="116" customFormat="1" ht="16.5" customHeight="1">
      <c r="A267" s="113"/>
      <c r="B267" s="114"/>
      <c r="C267" s="115"/>
      <c r="D267" s="115"/>
      <c r="E267" s="115"/>
      <c r="F267" s="115"/>
      <c r="G267" s="115"/>
      <c r="H267" s="114"/>
      <c r="I267" s="114"/>
    </row>
    <row r="268" spans="1:9" s="116" customFormat="1" ht="16.5" customHeight="1">
      <c r="A268" s="113"/>
      <c r="B268" s="114"/>
      <c r="C268" s="115"/>
      <c r="D268" s="115"/>
      <c r="E268" s="115"/>
      <c r="F268" s="115"/>
      <c r="G268" s="115"/>
      <c r="H268" s="114"/>
      <c r="I268" s="114"/>
    </row>
    <row r="269" spans="1:9" s="116" customFormat="1" ht="16.5" customHeight="1">
      <c r="A269" s="113"/>
      <c r="B269" s="114"/>
      <c r="C269" s="115"/>
      <c r="D269" s="115"/>
      <c r="E269" s="115"/>
      <c r="F269" s="115"/>
      <c r="G269" s="115"/>
      <c r="H269" s="114"/>
      <c r="I269" s="114"/>
    </row>
    <row r="270" spans="1:9" s="116" customFormat="1" ht="16.5" customHeight="1">
      <c r="A270" s="113"/>
      <c r="B270" s="114"/>
      <c r="C270" s="115"/>
      <c r="D270" s="115"/>
      <c r="E270" s="115"/>
      <c r="F270" s="115"/>
      <c r="G270" s="115"/>
      <c r="H270" s="114"/>
      <c r="I270" s="114"/>
    </row>
    <row r="271" spans="1:9" s="116" customFormat="1" ht="16.5" customHeight="1">
      <c r="A271" s="113"/>
      <c r="B271" s="114"/>
      <c r="C271" s="115"/>
      <c r="D271" s="115"/>
      <c r="E271" s="115"/>
      <c r="F271" s="115"/>
      <c r="G271" s="115"/>
      <c r="H271" s="114"/>
      <c r="I271" s="114"/>
    </row>
    <row r="272" spans="1:9" s="116" customFormat="1" ht="16.5" customHeight="1">
      <c r="A272" s="113"/>
      <c r="B272" s="114"/>
      <c r="C272" s="115"/>
      <c r="D272" s="115"/>
      <c r="E272" s="115"/>
      <c r="F272" s="115"/>
      <c r="G272" s="115"/>
      <c r="H272" s="114"/>
      <c r="I272" s="114"/>
    </row>
    <row r="273" spans="1:9" s="116" customFormat="1" ht="16.5" customHeight="1">
      <c r="A273" s="113"/>
      <c r="B273" s="114"/>
      <c r="C273" s="115"/>
      <c r="D273" s="115"/>
      <c r="E273" s="115"/>
      <c r="F273" s="115"/>
      <c r="G273" s="115"/>
      <c r="H273" s="114"/>
      <c r="I273" s="114"/>
    </row>
    <row r="274" spans="1:9" s="116" customFormat="1" ht="16.5" customHeight="1">
      <c r="A274" s="113"/>
      <c r="B274" s="114"/>
      <c r="C274" s="115"/>
      <c r="D274" s="115"/>
      <c r="E274" s="115"/>
      <c r="F274" s="115"/>
      <c r="G274" s="115"/>
      <c r="H274" s="114"/>
      <c r="I274" s="114"/>
    </row>
    <row r="275" spans="1:9" s="116" customFormat="1" ht="16.5" customHeight="1">
      <c r="A275" s="113"/>
      <c r="B275" s="114"/>
      <c r="C275" s="115"/>
      <c r="D275" s="115"/>
      <c r="E275" s="115"/>
      <c r="F275" s="115"/>
      <c r="G275" s="115"/>
      <c r="H275" s="114"/>
      <c r="I275" s="114"/>
    </row>
    <row r="276" spans="1:9" s="116" customFormat="1" ht="16.5" customHeight="1">
      <c r="A276" s="113"/>
      <c r="B276" s="114"/>
      <c r="C276" s="115"/>
      <c r="D276" s="115"/>
      <c r="E276" s="115"/>
      <c r="F276" s="115"/>
      <c r="G276" s="115"/>
      <c r="H276" s="114"/>
      <c r="I276" s="114"/>
    </row>
    <row r="277" spans="1:9" s="116" customFormat="1" ht="16.5" customHeight="1">
      <c r="A277" s="113"/>
      <c r="B277" s="114"/>
      <c r="C277" s="115"/>
      <c r="D277" s="115"/>
      <c r="E277" s="115"/>
      <c r="F277" s="115"/>
      <c r="G277" s="115"/>
      <c r="H277" s="114"/>
      <c r="I277" s="114"/>
    </row>
    <row r="278" spans="1:9" s="116" customFormat="1" ht="16.5" customHeight="1">
      <c r="A278" s="113"/>
      <c r="B278" s="114"/>
      <c r="C278" s="115"/>
      <c r="D278" s="115"/>
      <c r="E278" s="115"/>
      <c r="F278" s="115"/>
      <c r="G278" s="115"/>
      <c r="H278" s="114"/>
      <c r="I278" s="114"/>
    </row>
    <row r="279" spans="1:9" s="116" customFormat="1" ht="16.5" customHeight="1">
      <c r="A279" s="113"/>
      <c r="B279" s="114"/>
      <c r="C279" s="115"/>
      <c r="D279" s="115"/>
      <c r="E279" s="115"/>
      <c r="F279" s="115"/>
      <c r="G279" s="115"/>
      <c r="H279" s="114"/>
      <c r="I279" s="114"/>
    </row>
    <row r="280" spans="1:9" s="116" customFormat="1" ht="16.5" customHeight="1">
      <c r="A280" s="113"/>
      <c r="B280" s="114"/>
      <c r="C280" s="115"/>
      <c r="D280" s="115"/>
      <c r="E280" s="115"/>
      <c r="F280" s="115"/>
      <c r="G280" s="115"/>
      <c r="H280" s="114"/>
      <c r="I280" s="114"/>
    </row>
    <row r="281" spans="1:9" s="116" customFormat="1" ht="16.5" customHeight="1">
      <c r="A281" s="113"/>
      <c r="B281" s="114"/>
      <c r="C281" s="115"/>
      <c r="D281" s="115"/>
      <c r="E281" s="115"/>
      <c r="F281" s="115"/>
      <c r="G281" s="115"/>
      <c r="H281" s="114"/>
      <c r="I281" s="114"/>
    </row>
    <row r="282" spans="1:9" s="116" customFormat="1" ht="16.5" customHeight="1">
      <c r="A282" s="113"/>
      <c r="B282" s="114"/>
      <c r="C282" s="115"/>
      <c r="D282" s="115"/>
      <c r="E282" s="115"/>
      <c r="F282" s="115"/>
      <c r="G282" s="115"/>
      <c r="H282" s="114"/>
      <c r="I282" s="114"/>
    </row>
    <row r="283" spans="1:9" s="116" customFormat="1" ht="16.5" customHeight="1">
      <c r="A283" s="113"/>
      <c r="B283" s="114"/>
      <c r="C283" s="115"/>
      <c r="D283" s="115"/>
      <c r="E283" s="115"/>
      <c r="F283" s="115"/>
      <c r="G283" s="115"/>
      <c r="H283" s="114"/>
      <c r="I283" s="114"/>
    </row>
    <row r="284" spans="1:9" s="116" customFormat="1" ht="16.5" customHeight="1">
      <c r="A284" s="113"/>
      <c r="B284" s="114"/>
      <c r="C284" s="115"/>
      <c r="D284" s="115"/>
      <c r="E284" s="115"/>
      <c r="F284" s="115"/>
      <c r="G284" s="115"/>
      <c r="H284" s="114"/>
      <c r="I284" s="114"/>
    </row>
    <row r="285" spans="1:9" s="116" customFormat="1" ht="16.5" customHeight="1">
      <c r="A285" s="113"/>
      <c r="B285" s="114"/>
      <c r="C285" s="115"/>
      <c r="D285" s="115"/>
      <c r="E285" s="115"/>
      <c r="F285" s="115"/>
      <c r="G285" s="115"/>
      <c r="H285" s="114"/>
      <c r="I285" s="114"/>
    </row>
    <row r="286" spans="1:9" s="116" customFormat="1" ht="16.5" customHeight="1">
      <c r="A286" s="113"/>
      <c r="B286" s="114"/>
      <c r="C286" s="115"/>
      <c r="D286" s="115"/>
      <c r="E286" s="115"/>
      <c r="F286" s="115"/>
      <c r="G286" s="115"/>
      <c r="H286" s="114"/>
      <c r="I286" s="114"/>
    </row>
    <row r="287" spans="1:9" s="116" customFormat="1" ht="16.5" customHeight="1">
      <c r="A287" s="113"/>
      <c r="B287" s="114"/>
      <c r="C287" s="115"/>
      <c r="D287" s="115"/>
      <c r="E287" s="115"/>
      <c r="F287" s="115"/>
      <c r="G287" s="115"/>
      <c r="H287" s="114"/>
      <c r="I287" s="114"/>
    </row>
    <row r="288" spans="1:9" s="116" customFormat="1" ht="16.5" customHeight="1">
      <c r="A288" s="113"/>
      <c r="B288" s="114"/>
      <c r="C288" s="115"/>
      <c r="D288" s="115"/>
      <c r="E288" s="115"/>
      <c r="F288" s="115"/>
      <c r="G288" s="115"/>
      <c r="H288" s="114"/>
      <c r="I288" s="114"/>
    </row>
    <row r="289" spans="1:9" s="116" customFormat="1" ht="16.5" customHeight="1">
      <c r="A289" s="113"/>
      <c r="B289" s="114"/>
      <c r="C289" s="115"/>
      <c r="D289" s="115"/>
      <c r="E289" s="115"/>
      <c r="F289" s="115"/>
      <c r="G289" s="115"/>
      <c r="H289" s="114"/>
      <c r="I289" s="114"/>
    </row>
    <row r="290" spans="1:9" s="116" customFormat="1" ht="16.5" customHeight="1">
      <c r="A290" s="113"/>
      <c r="B290" s="114"/>
      <c r="C290" s="115"/>
      <c r="D290" s="115"/>
      <c r="E290" s="115"/>
      <c r="F290" s="115"/>
      <c r="G290" s="115"/>
      <c r="H290" s="114"/>
      <c r="I290" s="114"/>
    </row>
    <row r="291" spans="1:9" s="116" customFormat="1" ht="16.5" customHeight="1">
      <c r="A291" s="113"/>
      <c r="B291" s="114"/>
      <c r="C291" s="115"/>
      <c r="D291" s="115"/>
      <c r="E291" s="115"/>
      <c r="F291" s="115"/>
      <c r="G291" s="115"/>
      <c r="H291" s="114"/>
      <c r="I291" s="114"/>
    </row>
    <row r="292" spans="1:9" s="116" customFormat="1" ht="16.5" customHeight="1">
      <c r="A292" s="113"/>
      <c r="B292" s="114"/>
      <c r="C292" s="115"/>
      <c r="D292" s="115"/>
      <c r="E292" s="115"/>
      <c r="F292" s="115"/>
      <c r="G292" s="115"/>
      <c r="H292" s="114"/>
      <c r="I292" s="114"/>
    </row>
    <row r="293" spans="1:9" s="116" customFormat="1" ht="16.5" customHeight="1">
      <c r="A293" s="113"/>
      <c r="B293" s="114"/>
      <c r="C293" s="115"/>
      <c r="D293" s="115"/>
      <c r="E293" s="115"/>
      <c r="F293" s="115"/>
      <c r="G293" s="115"/>
      <c r="H293" s="114"/>
      <c r="I293" s="114"/>
    </row>
    <row r="294" spans="1:9" s="116" customFormat="1" ht="16.5" customHeight="1">
      <c r="A294" s="113"/>
      <c r="B294" s="114"/>
      <c r="C294" s="115"/>
      <c r="D294" s="115"/>
      <c r="E294" s="115"/>
      <c r="F294" s="115"/>
      <c r="G294" s="115"/>
      <c r="H294" s="114"/>
      <c r="I294" s="114"/>
    </row>
    <row r="295" spans="1:9" s="116" customFormat="1" ht="16.5" customHeight="1">
      <c r="A295" s="113"/>
      <c r="B295" s="114"/>
      <c r="C295" s="115"/>
      <c r="D295" s="115"/>
      <c r="E295" s="115"/>
      <c r="F295" s="115"/>
      <c r="G295" s="115"/>
      <c r="H295" s="114"/>
      <c r="I295" s="114"/>
    </row>
    <row r="296" spans="1:9" s="116" customFormat="1" ht="16.5" customHeight="1">
      <c r="A296" s="113"/>
      <c r="B296" s="114"/>
      <c r="C296" s="115"/>
      <c r="D296" s="115"/>
      <c r="E296" s="115"/>
      <c r="F296" s="115"/>
      <c r="G296" s="115"/>
      <c r="H296" s="114"/>
      <c r="I296" s="114"/>
    </row>
    <row r="297" spans="1:9" s="116" customFormat="1" ht="16.5" customHeight="1">
      <c r="A297" s="113"/>
      <c r="B297" s="114"/>
      <c r="C297" s="115"/>
      <c r="D297" s="115"/>
      <c r="E297" s="115"/>
      <c r="F297" s="115"/>
      <c r="G297" s="115"/>
      <c r="H297" s="114"/>
      <c r="I297" s="114"/>
    </row>
    <row r="298" spans="1:9" s="116" customFormat="1" ht="16.5" customHeight="1">
      <c r="A298" s="113"/>
      <c r="B298" s="114"/>
      <c r="C298" s="115"/>
      <c r="D298" s="115"/>
      <c r="E298" s="115"/>
      <c r="F298" s="115"/>
      <c r="G298" s="115"/>
      <c r="H298" s="114"/>
      <c r="I298" s="114"/>
    </row>
    <row r="299" spans="1:9" s="116" customFormat="1" ht="16.5" customHeight="1">
      <c r="A299" s="113"/>
      <c r="B299" s="114"/>
      <c r="C299" s="115"/>
      <c r="D299" s="115"/>
      <c r="E299" s="115"/>
      <c r="F299" s="115"/>
      <c r="G299" s="115"/>
      <c r="H299" s="114"/>
      <c r="I299" s="114"/>
    </row>
    <row r="300" spans="1:9" s="116" customFormat="1" ht="16.5" customHeight="1">
      <c r="A300" s="113"/>
      <c r="B300" s="114"/>
      <c r="C300" s="115"/>
      <c r="D300" s="115"/>
      <c r="E300" s="115"/>
      <c r="F300" s="115"/>
      <c r="G300" s="115"/>
      <c r="H300" s="114"/>
      <c r="I300" s="114"/>
    </row>
    <row r="301" spans="1:9" s="116" customFormat="1" ht="16.5" customHeight="1">
      <c r="A301" s="113"/>
      <c r="B301" s="114"/>
      <c r="C301" s="115"/>
      <c r="D301" s="115"/>
      <c r="E301" s="115"/>
      <c r="F301" s="115"/>
      <c r="G301" s="115"/>
      <c r="H301" s="114"/>
      <c r="I301" s="114"/>
    </row>
    <row r="302" spans="1:9" s="116" customFormat="1" ht="16.5" customHeight="1">
      <c r="A302" s="113"/>
      <c r="B302" s="114"/>
      <c r="C302" s="115"/>
      <c r="D302" s="115"/>
      <c r="E302" s="115"/>
      <c r="F302" s="115"/>
      <c r="G302" s="115"/>
      <c r="H302" s="114"/>
      <c r="I302" s="114"/>
    </row>
    <row r="303" spans="1:9" s="116" customFormat="1" ht="16.5" customHeight="1">
      <c r="A303" s="113"/>
      <c r="B303" s="114"/>
      <c r="C303" s="115"/>
      <c r="D303" s="115"/>
      <c r="E303" s="115"/>
      <c r="F303" s="115"/>
      <c r="G303" s="115"/>
      <c r="H303" s="114"/>
      <c r="I303" s="114"/>
    </row>
    <row r="304" spans="1:9" s="116" customFormat="1" ht="16.5" customHeight="1">
      <c r="A304" s="113"/>
      <c r="B304" s="114"/>
      <c r="C304" s="115"/>
      <c r="D304" s="115"/>
      <c r="E304" s="115"/>
      <c r="F304" s="115"/>
      <c r="G304" s="115"/>
      <c r="H304" s="114"/>
      <c r="I304" s="114"/>
    </row>
    <row r="305" spans="1:9" s="116" customFormat="1" ht="16.5" customHeight="1">
      <c r="A305" s="113"/>
      <c r="B305" s="114"/>
      <c r="C305" s="115"/>
      <c r="D305" s="115"/>
      <c r="E305" s="115"/>
      <c r="F305" s="115"/>
      <c r="G305" s="115"/>
      <c r="H305" s="114"/>
      <c r="I305" s="114"/>
    </row>
    <row r="306" spans="1:9" s="116" customFormat="1" ht="16.5" customHeight="1">
      <c r="A306" s="113"/>
      <c r="B306" s="114"/>
      <c r="C306" s="115"/>
      <c r="D306" s="115"/>
      <c r="E306" s="115"/>
      <c r="F306" s="115"/>
      <c r="G306" s="115"/>
      <c r="H306" s="114"/>
      <c r="I306" s="114"/>
    </row>
    <row r="307" spans="1:9" s="116" customFormat="1" ht="16.5" customHeight="1">
      <c r="A307" s="113"/>
      <c r="B307" s="114"/>
      <c r="C307" s="115"/>
      <c r="D307" s="115"/>
      <c r="E307" s="115"/>
      <c r="F307" s="115"/>
      <c r="G307" s="115"/>
      <c r="H307" s="114"/>
      <c r="I307" s="114"/>
    </row>
    <row r="308" spans="1:9" s="116" customFormat="1" ht="16.5" customHeight="1">
      <c r="A308" s="113"/>
      <c r="B308" s="114"/>
      <c r="C308" s="115"/>
      <c r="D308" s="115"/>
      <c r="E308" s="115"/>
      <c r="F308" s="115"/>
      <c r="G308" s="115"/>
      <c r="H308" s="114"/>
      <c r="I308" s="114"/>
    </row>
    <row r="309" spans="1:9" s="116" customFormat="1" ht="16.5" customHeight="1">
      <c r="A309" s="113"/>
      <c r="B309" s="114"/>
      <c r="C309" s="115"/>
      <c r="D309" s="115"/>
      <c r="E309" s="115"/>
      <c r="F309" s="115"/>
      <c r="G309" s="115"/>
      <c r="H309" s="114"/>
      <c r="I309" s="114"/>
    </row>
    <row r="310" spans="1:9" s="116" customFormat="1" ht="16.5" customHeight="1">
      <c r="A310" s="113"/>
      <c r="B310" s="114"/>
      <c r="C310" s="115"/>
      <c r="D310" s="115"/>
      <c r="E310" s="115"/>
      <c r="F310" s="115"/>
      <c r="G310" s="115"/>
      <c r="H310" s="114"/>
      <c r="I310" s="114"/>
    </row>
    <row r="311" spans="1:9" s="116" customFormat="1" ht="16.5" customHeight="1">
      <c r="A311" s="113"/>
      <c r="B311" s="114"/>
      <c r="C311" s="115"/>
      <c r="D311" s="115"/>
      <c r="E311" s="115"/>
      <c r="F311" s="115"/>
      <c r="G311" s="115"/>
      <c r="H311" s="114"/>
      <c r="I311" s="114"/>
    </row>
    <row r="312" spans="1:9" s="116" customFormat="1" ht="16.5" customHeight="1">
      <c r="A312" s="113"/>
      <c r="B312" s="114"/>
      <c r="C312" s="115"/>
      <c r="D312" s="115"/>
      <c r="E312" s="115"/>
      <c r="F312" s="115"/>
      <c r="G312" s="115"/>
      <c r="H312" s="114"/>
      <c r="I312" s="114"/>
    </row>
    <row r="313" spans="1:9" s="116" customFormat="1" ht="16.5" customHeight="1">
      <c r="A313" s="113"/>
      <c r="B313" s="114"/>
      <c r="C313" s="115"/>
      <c r="D313" s="115"/>
      <c r="E313" s="115"/>
      <c r="F313" s="115"/>
      <c r="G313" s="115"/>
      <c r="H313" s="114"/>
      <c r="I313" s="114"/>
    </row>
    <row r="314" spans="1:9" s="116" customFormat="1" ht="16.5" customHeight="1">
      <c r="A314" s="113"/>
      <c r="B314" s="114"/>
      <c r="C314" s="115"/>
      <c r="D314" s="115"/>
      <c r="E314" s="115"/>
      <c r="F314" s="115"/>
      <c r="G314" s="115"/>
      <c r="H314" s="114"/>
      <c r="I314" s="114"/>
    </row>
    <row r="315" spans="1:9" s="116" customFormat="1" ht="16.5" customHeight="1">
      <c r="A315" s="113"/>
      <c r="B315" s="114"/>
      <c r="C315" s="115"/>
      <c r="D315" s="115"/>
      <c r="E315" s="115"/>
      <c r="F315" s="115"/>
      <c r="G315" s="115"/>
      <c r="H315" s="114"/>
      <c r="I315" s="114"/>
    </row>
    <row r="316" spans="1:9" s="116" customFormat="1" ht="16.5" customHeight="1">
      <c r="A316" s="113"/>
      <c r="B316" s="114"/>
      <c r="C316" s="115"/>
      <c r="D316" s="115"/>
      <c r="E316" s="115"/>
      <c r="F316" s="115"/>
      <c r="G316" s="115"/>
      <c r="H316" s="114"/>
      <c r="I316" s="114"/>
    </row>
    <row r="317" spans="1:9" s="116" customFormat="1" ht="16.5" customHeight="1">
      <c r="A317" s="113"/>
      <c r="B317" s="114"/>
      <c r="C317" s="115"/>
      <c r="D317" s="115"/>
      <c r="E317" s="115"/>
      <c r="F317" s="115"/>
      <c r="G317" s="115"/>
      <c r="H317" s="114"/>
      <c r="I317" s="114"/>
    </row>
    <row r="318" spans="1:9" s="116" customFormat="1" ht="16.5" customHeight="1">
      <c r="A318" s="113"/>
      <c r="B318" s="114"/>
      <c r="C318" s="115"/>
      <c r="D318" s="115"/>
      <c r="E318" s="115"/>
      <c r="F318" s="115"/>
      <c r="G318" s="115"/>
      <c r="H318" s="114"/>
      <c r="I318" s="114"/>
    </row>
    <row r="319" spans="1:9" s="116" customFormat="1" ht="16.5" customHeight="1">
      <c r="A319" s="113"/>
      <c r="B319" s="114"/>
      <c r="C319" s="115"/>
      <c r="D319" s="115"/>
      <c r="E319" s="115"/>
      <c r="F319" s="115"/>
      <c r="G319" s="115"/>
      <c r="H319" s="114"/>
      <c r="I319" s="114"/>
    </row>
    <row r="320" spans="1:9" s="116" customFormat="1" ht="16.5" customHeight="1">
      <c r="A320" s="113"/>
      <c r="B320" s="114"/>
      <c r="C320" s="115"/>
      <c r="D320" s="115"/>
      <c r="E320" s="115"/>
      <c r="F320" s="115"/>
      <c r="G320" s="115"/>
      <c r="H320" s="114"/>
      <c r="I320" s="114"/>
    </row>
    <row r="321" spans="1:9" s="116" customFormat="1" ht="16.5" customHeight="1">
      <c r="A321" s="113"/>
      <c r="B321" s="114"/>
      <c r="C321" s="115"/>
      <c r="D321" s="115"/>
      <c r="E321" s="115"/>
      <c r="F321" s="115"/>
      <c r="G321" s="115"/>
      <c r="H321" s="114"/>
      <c r="I321" s="114"/>
    </row>
    <row r="322" spans="1:9" s="116" customFormat="1" ht="16.5" customHeight="1">
      <c r="A322" s="113"/>
      <c r="B322" s="114"/>
      <c r="C322" s="115"/>
      <c r="D322" s="115"/>
      <c r="E322" s="115"/>
      <c r="F322" s="115"/>
      <c r="G322" s="115"/>
      <c r="H322" s="114"/>
      <c r="I322" s="114"/>
    </row>
    <row r="323" spans="1:9" s="116" customFormat="1" ht="16.5" customHeight="1">
      <c r="A323" s="113"/>
      <c r="B323" s="114"/>
      <c r="C323" s="115"/>
      <c r="D323" s="115"/>
      <c r="E323" s="115"/>
      <c r="F323" s="115"/>
      <c r="G323" s="115"/>
      <c r="H323" s="114"/>
      <c r="I323" s="114"/>
    </row>
    <row r="324" spans="1:9" s="116" customFormat="1" ht="16.5" customHeight="1">
      <c r="A324" s="113"/>
      <c r="B324" s="114"/>
      <c r="C324" s="115"/>
      <c r="D324" s="115"/>
      <c r="E324" s="115"/>
      <c r="F324" s="115"/>
      <c r="G324" s="115"/>
      <c r="H324" s="114"/>
      <c r="I324" s="114"/>
    </row>
    <row r="325" spans="1:9" s="116" customFormat="1" ht="16.5" customHeight="1">
      <c r="A325" s="113"/>
      <c r="B325" s="114"/>
      <c r="C325" s="115"/>
      <c r="D325" s="115"/>
      <c r="E325" s="115"/>
      <c r="F325" s="115"/>
      <c r="G325" s="115"/>
      <c r="H325" s="114"/>
      <c r="I325" s="114"/>
    </row>
    <row r="326" spans="1:9" s="116" customFormat="1" ht="16.5" customHeight="1">
      <c r="A326" s="113"/>
      <c r="B326" s="114"/>
      <c r="C326" s="115"/>
      <c r="D326" s="115"/>
      <c r="E326" s="115"/>
      <c r="F326" s="115"/>
      <c r="G326" s="115"/>
      <c r="H326" s="114"/>
      <c r="I326" s="114"/>
    </row>
    <row r="327" spans="1:9" s="116" customFormat="1" ht="16.5" customHeight="1">
      <c r="A327" s="113"/>
      <c r="B327" s="114"/>
      <c r="C327" s="115"/>
      <c r="D327" s="115"/>
      <c r="E327" s="115"/>
      <c r="F327" s="115"/>
      <c r="G327" s="115"/>
      <c r="H327" s="114"/>
      <c r="I327" s="114"/>
    </row>
    <row r="328" spans="1:9" s="116" customFormat="1" ht="16.5" customHeight="1">
      <c r="A328" s="113"/>
      <c r="B328" s="114"/>
      <c r="C328" s="115"/>
      <c r="D328" s="115"/>
      <c r="E328" s="115"/>
      <c r="F328" s="115"/>
      <c r="G328" s="115"/>
      <c r="H328" s="114"/>
      <c r="I328" s="114"/>
    </row>
    <row r="329" spans="1:9" s="116" customFormat="1" ht="16.5" customHeight="1">
      <c r="A329" s="113"/>
      <c r="B329" s="114"/>
      <c r="C329" s="115"/>
      <c r="D329" s="115"/>
      <c r="E329" s="115"/>
      <c r="F329" s="115"/>
      <c r="G329" s="115"/>
      <c r="H329" s="114"/>
      <c r="I329" s="114"/>
    </row>
    <row r="330" spans="1:9" s="116" customFormat="1" ht="16.5" customHeight="1">
      <c r="A330" s="113"/>
      <c r="B330" s="114"/>
      <c r="C330" s="115"/>
      <c r="D330" s="115"/>
      <c r="E330" s="115"/>
      <c r="F330" s="115"/>
      <c r="G330" s="115"/>
      <c r="H330" s="114"/>
      <c r="I330" s="114"/>
    </row>
    <row r="331" spans="1:9" s="116" customFormat="1" ht="16.5" customHeight="1">
      <c r="A331" s="113"/>
      <c r="B331" s="114"/>
      <c r="C331" s="115"/>
      <c r="D331" s="115"/>
      <c r="E331" s="115"/>
      <c r="F331" s="115"/>
      <c r="G331" s="115"/>
      <c r="H331" s="114"/>
      <c r="I331" s="114"/>
    </row>
    <row r="332" spans="1:9" s="116" customFormat="1" ht="16.5" customHeight="1">
      <c r="A332" s="113"/>
      <c r="B332" s="114"/>
      <c r="C332" s="115"/>
      <c r="D332" s="115"/>
      <c r="E332" s="115"/>
      <c r="F332" s="115"/>
      <c r="G332" s="115"/>
      <c r="H332" s="114"/>
      <c r="I332" s="114"/>
    </row>
    <row r="333" spans="1:9" s="116" customFormat="1" ht="16.5" customHeight="1">
      <c r="A333" s="113"/>
      <c r="B333" s="114"/>
      <c r="C333" s="115"/>
      <c r="D333" s="115"/>
      <c r="E333" s="115"/>
      <c r="F333" s="115"/>
      <c r="G333" s="115"/>
      <c r="H333" s="114"/>
      <c r="I333" s="114"/>
    </row>
    <row r="334" spans="1:9" s="116" customFormat="1" ht="16.5" customHeight="1">
      <c r="A334" s="113"/>
      <c r="B334" s="114"/>
      <c r="C334" s="115"/>
      <c r="D334" s="115"/>
      <c r="E334" s="115"/>
      <c r="F334" s="115"/>
      <c r="G334" s="115"/>
      <c r="H334" s="114"/>
      <c r="I334" s="114"/>
    </row>
    <row r="335" spans="1:9" s="116" customFormat="1" ht="16.5" customHeight="1">
      <c r="A335" s="113"/>
      <c r="B335" s="114"/>
      <c r="C335" s="115"/>
      <c r="D335" s="115"/>
      <c r="E335" s="115"/>
      <c r="F335" s="115"/>
      <c r="G335" s="115"/>
      <c r="H335" s="114"/>
      <c r="I335" s="114"/>
    </row>
    <row r="336" spans="1:9" s="116" customFormat="1" ht="16.5" customHeight="1">
      <c r="A336" s="113"/>
      <c r="B336" s="114"/>
      <c r="C336" s="115"/>
      <c r="D336" s="115"/>
      <c r="E336" s="115"/>
      <c r="F336" s="115"/>
      <c r="G336" s="115"/>
      <c r="H336" s="114"/>
      <c r="I336" s="114"/>
    </row>
    <row r="337" spans="1:9" s="116" customFormat="1" ht="16.5" customHeight="1">
      <c r="A337" s="113"/>
      <c r="B337" s="114"/>
      <c r="C337" s="115"/>
      <c r="D337" s="115"/>
      <c r="E337" s="115"/>
      <c r="F337" s="115"/>
      <c r="G337" s="115"/>
      <c r="H337" s="114"/>
      <c r="I337" s="114"/>
    </row>
    <row r="338" spans="1:9" s="116" customFormat="1" ht="16.5" customHeight="1">
      <c r="A338" s="113"/>
      <c r="B338" s="114"/>
      <c r="C338" s="115"/>
      <c r="D338" s="115"/>
      <c r="E338" s="115"/>
      <c r="F338" s="115"/>
      <c r="G338" s="115"/>
      <c r="H338" s="114"/>
      <c r="I338" s="114"/>
    </row>
    <row r="339" spans="1:9" s="116" customFormat="1" ht="16.5" customHeight="1">
      <c r="A339" s="113"/>
      <c r="B339" s="114"/>
      <c r="C339" s="115"/>
      <c r="D339" s="115"/>
      <c r="E339" s="115"/>
      <c r="F339" s="115"/>
      <c r="G339" s="115"/>
      <c r="H339" s="114"/>
      <c r="I339" s="114"/>
    </row>
    <row r="340" spans="1:9" s="116" customFormat="1" ht="16.5" customHeight="1">
      <c r="A340" s="113"/>
      <c r="B340" s="114"/>
      <c r="C340" s="115"/>
      <c r="D340" s="115"/>
      <c r="E340" s="115"/>
      <c r="F340" s="115"/>
      <c r="G340" s="115"/>
      <c r="H340" s="114"/>
      <c r="I340" s="114"/>
    </row>
    <row r="341" spans="1:9" s="116" customFormat="1" ht="16.5" customHeight="1">
      <c r="A341" s="113"/>
      <c r="B341" s="114"/>
      <c r="C341" s="115"/>
      <c r="D341" s="115"/>
      <c r="E341" s="115"/>
      <c r="F341" s="115"/>
      <c r="G341" s="115"/>
      <c r="H341" s="114"/>
      <c r="I341" s="114"/>
    </row>
    <row r="342" spans="1:9" s="116" customFormat="1" ht="16.5" customHeight="1">
      <c r="A342" s="113"/>
      <c r="B342" s="114"/>
      <c r="C342" s="115"/>
      <c r="D342" s="115"/>
      <c r="E342" s="115"/>
      <c r="F342" s="115"/>
      <c r="G342" s="115"/>
      <c r="H342" s="114"/>
      <c r="I342" s="114"/>
    </row>
    <row r="343" spans="1:9" s="116" customFormat="1" ht="16.5" customHeight="1">
      <c r="A343" s="113"/>
      <c r="B343" s="114"/>
      <c r="C343" s="115"/>
      <c r="D343" s="115"/>
      <c r="E343" s="115"/>
      <c r="F343" s="115"/>
      <c r="G343" s="115"/>
      <c r="H343" s="114"/>
      <c r="I343" s="114"/>
    </row>
    <row r="344" spans="1:9" s="116" customFormat="1" ht="16.5" customHeight="1">
      <c r="A344" s="113"/>
      <c r="B344" s="114"/>
      <c r="C344" s="115"/>
      <c r="D344" s="115"/>
      <c r="E344" s="115"/>
      <c r="F344" s="115"/>
      <c r="G344" s="115"/>
      <c r="H344" s="114"/>
      <c r="I344" s="114"/>
    </row>
    <row r="345" spans="1:9" s="116" customFormat="1" ht="16.5" customHeight="1">
      <c r="A345" s="113"/>
      <c r="B345" s="114"/>
      <c r="C345" s="115"/>
      <c r="D345" s="115"/>
      <c r="E345" s="115"/>
      <c r="F345" s="115"/>
      <c r="G345" s="115"/>
      <c r="H345" s="114"/>
      <c r="I345" s="114"/>
    </row>
    <row r="346" spans="1:9" s="116" customFormat="1" ht="16.5" customHeight="1">
      <c r="A346" s="113"/>
      <c r="B346" s="114"/>
      <c r="C346" s="115"/>
      <c r="D346" s="115"/>
      <c r="E346" s="115"/>
      <c r="F346" s="115"/>
      <c r="G346" s="115"/>
      <c r="H346" s="114"/>
      <c r="I346" s="114"/>
    </row>
    <row r="347" spans="1:9" s="116" customFormat="1" ht="16.5" customHeight="1">
      <c r="A347" s="113"/>
      <c r="B347" s="114"/>
      <c r="C347" s="115"/>
      <c r="D347" s="115"/>
      <c r="E347" s="115"/>
      <c r="F347" s="115"/>
      <c r="G347" s="115"/>
      <c r="H347" s="114"/>
      <c r="I347" s="114"/>
    </row>
    <row r="348" spans="1:9" s="116" customFormat="1" ht="16.5" customHeight="1">
      <c r="A348" s="113"/>
      <c r="B348" s="114"/>
      <c r="C348" s="115"/>
      <c r="D348" s="115"/>
      <c r="E348" s="115"/>
      <c r="F348" s="115"/>
      <c r="G348" s="115"/>
      <c r="H348" s="114"/>
      <c r="I348" s="114"/>
    </row>
    <row r="349" spans="1:9" s="116" customFormat="1" ht="16.5" customHeight="1">
      <c r="A349" s="113"/>
      <c r="B349" s="114"/>
      <c r="C349" s="115"/>
      <c r="D349" s="115"/>
      <c r="E349" s="115"/>
      <c r="F349" s="115"/>
      <c r="G349" s="115"/>
      <c r="H349" s="114"/>
      <c r="I349" s="114"/>
    </row>
    <row r="350" spans="1:9" s="116" customFormat="1" ht="16.5" customHeight="1">
      <c r="A350" s="113"/>
      <c r="B350" s="114"/>
      <c r="C350" s="115"/>
      <c r="D350" s="115"/>
      <c r="E350" s="115"/>
      <c r="F350" s="115"/>
      <c r="G350" s="115"/>
      <c r="H350" s="114"/>
      <c r="I350" s="114"/>
    </row>
    <row r="351" spans="1:9" s="116" customFormat="1" ht="16.5" customHeight="1">
      <c r="A351" s="113"/>
      <c r="B351" s="114"/>
      <c r="C351" s="115"/>
      <c r="D351" s="115"/>
      <c r="E351" s="115"/>
      <c r="F351" s="115"/>
      <c r="G351" s="115"/>
      <c r="H351" s="114"/>
      <c r="I351" s="114"/>
    </row>
    <row r="352" spans="1:9" s="116" customFormat="1" ht="16.5" customHeight="1">
      <c r="A352" s="113"/>
      <c r="B352" s="114"/>
      <c r="C352" s="115"/>
      <c r="D352" s="115"/>
      <c r="E352" s="115"/>
      <c r="F352" s="115"/>
      <c r="G352" s="115"/>
      <c r="H352" s="114"/>
      <c r="I352" s="114"/>
    </row>
    <row r="353" spans="1:9" s="116" customFormat="1" ht="16.5" customHeight="1">
      <c r="A353" s="113"/>
      <c r="B353" s="114"/>
      <c r="C353" s="115"/>
      <c r="D353" s="115"/>
      <c r="E353" s="115"/>
      <c r="F353" s="115"/>
      <c r="G353" s="115"/>
      <c r="H353" s="114"/>
      <c r="I353" s="114"/>
    </row>
    <row r="354" spans="1:9" s="116" customFormat="1" ht="16.5" customHeight="1">
      <c r="A354" s="113"/>
      <c r="B354" s="114"/>
      <c r="C354" s="115"/>
      <c r="D354" s="115"/>
      <c r="E354" s="115"/>
      <c r="F354" s="115"/>
      <c r="G354" s="115"/>
      <c r="H354" s="114"/>
      <c r="I354" s="114"/>
    </row>
    <row r="355" spans="1:9" s="116" customFormat="1" ht="16.5" customHeight="1">
      <c r="A355" s="113"/>
      <c r="B355" s="114"/>
      <c r="C355" s="115"/>
      <c r="D355" s="115"/>
      <c r="E355" s="115"/>
      <c r="F355" s="115"/>
      <c r="G355" s="115"/>
      <c r="H355" s="114"/>
      <c r="I355" s="114"/>
    </row>
    <row r="356" spans="1:9" s="116" customFormat="1" ht="16.5" customHeight="1">
      <c r="A356" s="113"/>
      <c r="B356" s="114"/>
      <c r="C356" s="115"/>
      <c r="D356" s="115"/>
      <c r="E356" s="115"/>
      <c r="F356" s="115"/>
      <c r="G356" s="115"/>
      <c r="H356" s="114"/>
      <c r="I356" s="114"/>
    </row>
    <row r="357" spans="1:9" s="116" customFormat="1" ht="16.5" customHeight="1">
      <c r="A357" s="113"/>
      <c r="B357" s="114"/>
      <c r="C357" s="115"/>
      <c r="D357" s="115"/>
      <c r="E357" s="115"/>
      <c r="F357" s="115"/>
      <c r="G357" s="115"/>
      <c r="H357" s="114"/>
      <c r="I357" s="114"/>
    </row>
    <row r="358" spans="1:9" s="116" customFormat="1" ht="16.5" customHeight="1">
      <c r="A358" s="113"/>
      <c r="B358" s="114"/>
      <c r="C358" s="115"/>
      <c r="D358" s="115"/>
      <c r="E358" s="115"/>
      <c r="F358" s="115"/>
      <c r="G358" s="115"/>
      <c r="H358" s="114"/>
      <c r="I358" s="114"/>
    </row>
    <row r="359" spans="1:9" s="116" customFormat="1" ht="16.5" customHeight="1">
      <c r="A359" s="113"/>
      <c r="B359" s="114"/>
      <c r="C359" s="115"/>
      <c r="D359" s="115"/>
      <c r="E359" s="115"/>
      <c r="F359" s="115"/>
      <c r="G359" s="115"/>
      <c r="H359" s="114"/>
      <c r="I359" s="114"/>
    </row>
    <row r="360" spans="1:9" s="116" customFormat="1" ht="16.5" customHeight="1">
      <c r="A360" s="113"/>
      <c r="B360" s="114"/>
      <c r="C360" s="115"/>
      <c r="D360" s="115"/>
      <c r="E360" s="115"/>
      <c r="F360" s="115"/>
      <c r="G360" s="115"/>
      <c r="H360" s="114"/>
      <c r="I360" s="114"/>
    </row>
    <row r="361" spans="1:9" s="116" customFormat="1" ht="16.5" customHeight="1">
      <c r="A361" s="113"/>
      <c r="B361" s="114"/>
      <c r="C361" s="115"/>
      <c r="D361" s="115"/>
      <c r="E361" s="115"/>
      <c r="F361" s="115"/>
      <c r="G361" s="115"/>
      <c r="H361" s="114"/>
      <c r="I361" s="114"/>
    </row>
    <row r="362" spans="1:9" s="116" customFormat="1" ht="16.5" customHeight="1">
      <c r="A362" s="113"/>
      <c r="B362" s="114"/>
      <c r="C362" s="115"/>
      <c r="D362" s="115"/>
      <c r="E362" s="115"/>
      <c r="F362" s="115"/>
      <c r="G362" s="115"/>
      <c r="H362" s="114"/>
      <c r="I362" s="114"/>
    </row>
    <row r="363" spans="1:9" s="116" customFormat="1" ht="16.5" customHeight="1">
      <c r="A363" s="113"/>
      <c r="B363" s="114"/>
      <c r="C363" s="115"/>
      <c r="D363" s="115"/>
      <c r="E363" s="115"/>
      <c r="F363" s="115"/>
      <c r="G363" s="115"/>
      <c r="H363" s="114"/>
      <c r="I363" s="114"/>
    </row>
    <row r="364" spans="1:9" s="116" customFormat="1" ht="16.5" customHeight="1">
      <c r="A364" s="113"/>
      <c r="B364" s="114"/>
      <c r="C364" s="115"/>
      <c r="D364" s="115"/>
      <c r="E364" s="115"/>
      <c r="F364" s="115"/>
      <c r="G364" s="115"/>
      <c r="H364" s="114"/>
      <c r="I364" s="114"/>
    </row>
    <row r="365" spans="1:9" s="116" customFormat="1" ht="16.5" customHeight="1">
      <c r="A365" s="113"/>
      <c r="B365" s="114"/>
      <c r="C365" s="115"/>
      <c r="D365" s="115"/>
      <c r="E365" s="115"/>
      <c r="F365" s="115"/>
      <c r="G365" s="115"/>
      <c r="H365" s="114"/>
      <c r="I365" s="114"/>
    </row>
    <row r="366" spans="1:9" s="116" customFormat="1" ht="16.5" customHeight="1">
      <c r="A366" s="113"/>
      <c r="B366" s="114"/>
      <c r="C366" s="115"/>
      <c r="D366" s="115"/>
      <c r="E366" s="115"/>
      <c r="F366" s="115"/>
      <c r="G366" s="115"/>
      <c r="H366" s="114"/>
      <c r="I366" s="114"/>
    </row>
    <row r="367" spans="1:9" s="116" customFormat="1" ht="16.5" customHeight="1">
      <c r="A367" s="113"/>
      <c r="B367" s="114"/>
      <c r="C367" s="115"/>
      <c r="D367" s="115"/>
      <c r="E367" s="115"/>
      <c r="F367" s="115"/>
      <c r="G367" s="115"/>
      <c r="H367" s="114"/>
      <c r="I367" s="114"/>
    </row>
    <row r="368" spans="1:9" s="116" customFormat="1" ht="16.5" customHeight="1">
      <c r="A368" s="113"/>
      <c r="B368" s="114"/>
      <c r="C368" s="115"/>
      <c r="D368" s="115"/>
      <c r="E368" s="115"/>
      <c r="F368" s="115"/>
      <c r="G368" s="115"/>
      <c r="H368" s="114"/>
      <c r="I368" s="114"/>
    </row>
    <row r="369" spans="1:9" s="116" customFormat="1" ht="16.5" customHeight="1">
      <c r="A369" s="113"/>
      <c r="B369" s="114"/>
      <c r="C369" s="115"/>
      <c r="D369" s="115"/>
      <c r="E369" s="115"/>
      <c r="F369" s="115"/>
      <c r="G369" s="115"/>
      <c r="H369" s="114"/>
      <c r="I369" s="114"/>
    </row>
    <row r="370" spans="1:9" s="116" customFormat="1" ht="16.5" customHeight="1">
      <c r="A370" s="113"/>
      <c r="B370" s="114"/>
      <c r="C370" s="115"/>
      <c r="D370" s="115"/>
      <c r="E370" s="115"/>
      <c r="F370" s="115"/>
      <c r="G370" s="115"/>
      <c r="H370" s="114"/>
      <c r="I370" s="114"/>
    </row>
    <row r="371" spans="1:9" s="116" customFormat="1" ht="16.5" customHeight="1">
      <c r="A371" s="113"/>
      <c r="B371" s="114"/>
      <c r="C371" s="115"/>
      <c r="D371" s="115"/>
      <c r="E371" s="115"/>
      <c r="F371" s="115"/>
      <c r="G371" s="115"/>
      <c r="H371" s="114"/>
      <c r="I371" s="114"/>
    </row>
    <row r="372" spans="1:9" s="116" customFormat="1" ht="16.5" customHeight="1">
      <c r="A372" s="113"/>
      <c r="B372" s="114"/>
      <c r="C372" s="115"/>
      <c r="D372" s="115"/>
      <c r="E372" s="115"/>
      <c r="F372" s="115"/>
      <c r="G372" s="115"/>
      <c r="H372" s="114"/>
      <c r="I372" s="114"/>
    </row>
    <row r="373" spans="1:9" s="116" customFormat="1" ht="16.5" customHeight="1">
      <c r="A373" s="113"/>
      <c r="B373" s="114"/>
      <c r="C373" s="115"/>
      <c r="D373" s="115"/>
      <c r="E373" s="115"/>
      <c r="F373" s="115"/>
      <c r="G373" s="115"/>
      <c r="H373" s="114"/>
      <c r="I373" s="114"/>
    </row>
    <row r="374" spans="1:9" s="116" customFormat="1" ht="16.5" customHeight="1">
      <c r="A374" s="113"/>
      <c r="B374" s="114"/>
      <c r="C374" s="115"/>
      <c r="D374" s="115"/>
      <c r="E374" s="115"/>
      <c r="F374" s="115"/>
      <c r="G374" s="115"/>
      <c r="H374" s="114"/>
      <c r="I374" s="114"/>
    </row>
    <row r="375" spans="1:9" s="116" customFormat="1" ht="16.5" customHeight="1">
      <c r="A375" s="113"/>
      <c r="B375" s="114"/>
      <c r="C375" s="115"/>
      <c r="D375" s="115"/>
      <c r="E375" s="115"/>
      <c r="F375" s="115"/>
      <c r="G375" s="115"/>
      <c r="H375" s="114"/>
      <c r="I375" s="114"/>
    </row>
    <row r="376" spans="1:9" s="116" customFormat="1" ht="16.5" customHeight="1">
      <c r="A376" s="113"/>
      <c r="B376" s="114"/>
      <c r="C376" s="115"/>
      <c r="D376" s="115"/>
      <c r="E376" s="115"/>
      <c r="F376" s="115"/>
      <c r="G376" s="115"/>
      <c r="H376" s="114"/>
      <c r="I376" s="114"/>
    </row>
    <row r="377" spans="1:9" s="116" customFormat="1" ht="16.5" customHeight="1">
      <c r="A377" s="113"/>
      <c r="B377" s="114"/>
      <c r="C377" s="115"/>
      <c r="D377" s="115"/>
      <c r="E377" s="115"/>
      <c r="F377" s="115"/>
      <c r="G377" s="115"/>
      <c r="H377" s="114"/>
      <c r="I377" s="114"/>
    </row>
    <row r="378" spans="1:9" s="116" customFormat="1" ht="16.5" customHeight="1">
      <c r="A378" s="113"/>
      <c r="B378" s="114"/>
      <c r="C378" s="115"/>
      <c r="D378" s="115"/>
      <c r="E378" s="115"/>
      <c r="F378" s="115"/>
      <c r="G378" s="115"/>
      <c r="H378" s="114"/>
      <c r="I378" s="114"/>
    </row>
    <row r="379" spans="1:9" s="116" customFormat="1" ht="16.5" customHeight="1">
      <c r="A379" s="113"/>
      <c r="B379" s="114"/>
      <c r="C379" s="115"/>
      <c r="D379" s="115"/>
      <c r="E379" s="115"/>
      <c r="F379" s="115"/>
      <c r="G379" s="115"/>
      <c r="H379" s="114"/>
      <c r="I379" s="114"/>
    </row>
    <row r="380" spans="1:9" s="116" customFormat="1" ht="16.5" customHeight="1">
      <c r="A380" s="113"/>
      <c r="B380" s="114"/>
      <c r="C380" s="115"/>
      <c r="D380" s="115"/>
      <c r="E380" s="115"/>
      <c r="F380" s="115"/>
      <c r="G380" s="115"/>
      <c r="H380" s="114"/>
      <c r="I380" s="114"/>
    </row>
    <row r="381" spans="1:9" s="116" customFormat="1" ht="16.5" customHeight="1">
      <c r="A381" s="113"/>
      <c r="B381" s="114"/>
      <c r="C381" s="115"/>
      <c r="D381" s="115"/>
      <c r="E381" s="115"/>
      <c r="F381" s="115"/>
      <c r="G381" s="115"/>
      <c r="H381" s="114"/>
      <c r="I381" s="114"/>
    </row>
    <row r="382" spans="1:9" s="116" customFormat="1" ht="16.5" customHeight="1">
      <c r="A382" s="113"/>
      <c r="B382" s="114"/>
      <c r="C382" s="115"/>
      <c r="D382" s="115"/>
      <c r="E382" s="115"/>
      <c r="F382" s="115"/>
      <c r="G382" s="115"/>
      <c r="H382" s="114"/>
      <c r="I382" s="114"/>
    </row>
    <row r="383" spans="1:9" s="116" customFormat="1" ht="16.5" customHeight="1">
      <c r="A383" s="113"/>
      <c r="B383" s="114"/>
      <c r="C383" s="115"/>
      <c r="D383" s="115"/>
      <c r="E383" s="115"/>
      <c r="F383" s="115"/>
      <c r="G383" s="115"/>
      <c r="H383" s="114"/>
      <c r="I383" s="114"/>
    </row>
    <row r="384" spans="1:9" s="116" customFormat="1" ht="16.5" customHeight="1">
      <c r="A384" s="113"/>
      <c r="B384" s="114"/>
      <c r="C384" s="115"/>
      <c r="D384" s="115"/>
      <c r="E384" s="115"/>
      <c r="F384" s="115"/>
      <c r="G384" s="115"/>
      <c r="H384" s="114"/>
      <c r="I384" s="114"/>
    </row>
    <row r="385" spans="1:9" s="116" customFormat="1" ht="16.5" customHeight="1">
      <c r="A385" s="113"/>
      <c r="B385" s="114"/>
      <c r="C385" s="115"/>
      <c r="D385" s="115"/>
      <c r="E385" s="115"/>
      <c r="F385" s="115"/>
      <c r="G385" s="115"/>
      <c r="H385" s="114"/>
      <c r="I385" s="114"/>
    </row>
    <row r="386" spans="1:9" s="116" customFormat="1" ht="16.5" customHeight="1">
      <c r="A386" s="113"/>
      <c r="B386" s="114"/>
      <c r="C386" s="115"/>
      <c r="D386" s="115"/>
      <c r="E386" s="115"/>
      <c r="F386" s="115"/>
      <c r="G386" s="115"/>
      <c r="H386" s="114"/>
      <c r="I386" s="114"/>
    </row>
    <row r="387" spans="1:9" s="116" customFormat="1" ht="16.5" customHeight="1">
      <c r="A387" s="113"/>
      <c r="B387" s="114"/>
      <c r="C387" s="115"/>
      <c r="D387" s="115"/>
      <c r="E387" s="115"/>
      <c r="F387" s="115"/>
      <c r="G387" s="115"/>
      <c r="H387" s="114"/>
      <c r="I387" s="114"/>
    </row>
    <row r="388" spans="1:9" s="116" customFormat="1" ht="16.5" customHeight="1">
      <c r="A388" s="113"/>
      <c r="B388" s="114"/>
      <c r="C388" s="115"/>
      <c r="D388" s="115"/>
      <c r="E388" s="115"/>
      <c r="F388" s="115"/>
      <c r="G388" s="115"/>
      <c r="H388" s="114"/>
      <c r="I388" s="114"/>
    </row>
    <row r="389" spans="1:9" s="116" customFormat="1" ht="16.5" customHeight="1">
      <c r="A389" s="113"/>
      <c r="B389" s="114"/>
      <c r="C389" s="115"/>
      <c r="D389" s="115"/>
      <c r="E389" s="115"/>
      <c r="F389" s="115"/>
      <c r="G389" s="115"/>
      <c r="H389" s="114"/>
      <c r="I389" s="114"/>
    </row>
    <row r="390" spans="1:9" s="116" customFormat="1" ht="16.5" customHeight="1">
      <c r="A390" s="113"/>
      <c r="B390" s="114"/>
      <c r="C390" s="115"/>
      <c r="D390" s="115"/>
      <c r="E390" s="115"/>
      <c r="F390" s="115"/>
      <c r="G390" s="115"/>
      <c r="H390" s="114"/>
      <c r="I390" s="114"/>
    </row>
    <row r="391" spans="1:9" s="116" customFormat="1" ht="16.5" customHeight="1">
      <c r="A391" s="113"/>
      <c r="B391" s="114"/>
      <c r="C391" s="115"/>
      <c r="D391" s="115"/>
      <c r="E391" s="115"/>
      <c r="F391" s="115"/>
      <c r="G391" s="115"/>
      <c r="H391" s="114"/>
      <c r="I391" s="114"/>
    </row>
    <row r="392" spans="1:9" s="116" customFormat="1" ht="16.5" customHeight="1">
      <c r="A392" s="113"/>
      <c r="B392" s="114"/>
      <c r="C392" s="115"/>
      <c r="D392" s="115"/>
      <c r="E392" s="115"/>
      <c r="F392" s="115"/>
      <c r="G392" s="115"/>
      <c r="H392" s="114"/>
      <c r="I392" s="114"/>
    </row>
    <row r="393" spans="1:9" s="116" customFormat="1" ht="16.5" customHeight="1">
      <c r="A393" s="113"/>
      <c r="B393" s="114"/>
      <c r="C393" s="115"/>
      <c r="D393" s="115"/>
      <c r="E393" s="115"/>
      <c r="F393" s="115"/>
      <c r="G393" s="115"/>
      <c r="H393" s="114"/>
      <c r="I393" s="114"/>
    </row>
    <row r="394" spans="1:9" s="116" customFormat="1" ht="16.5" customHeight="1">
      <c r="A394" s="113"/>
      <c r="B394" s="114"/>
      <c r="C394" s="115"/>
      <c r="D394" s="115"/>
      <c r="E394" s="115"/>
      <c r="F394" s="115"/>
      <c r="G394" s="115"/>
      <c r="H394" s="114"/>
      <c r="I394" s="114"/>
    </row>
    <row r="395" spans="1:9" s="116" customFormat="1" ht="16.5" customHeight="1">
      <c r="A395" s="113"/>
      <c r="B395" s="114"/>
      <c r="C395" s="115"/>
      <c r="D395" s="115"/>
      <c r="E395" s="115"/>
      <c r="F395" s="115"/>
      <c r="G395" s="115"/>
      <c r="H395" s="114"/>
      <c r="I395" s="114"/>
    </row>
    <row r="396" spans="1:9" s="116" customFormat="1" ht="16.5" customHeight="1">
      <c r="A396" s="113"/>
      <c r="B396" s="114"/>
      <c r="C396" s="115"/>
      <c r="D396" s="115"/>
      <c r="E396" s="115"/>
      <c r="F396" s="115"/>
      <c r="G396" s="115"/>
      <c r="H396" s="114"/>
      <c r="I396" s="114"/>
    </row>
    <row r="397" spans="1:9" s="116" customFormat="1" ht="16.5" customHeight="1">
      <c r="A397" s="113"/>
      <c r="B397" s="114"/>
      <c r="C397" s="115"/>
      <c r="D397" s="115"/>
      <c r="E397" s="115"/>
      <c r="F397" s="115"/>
      <c r="G397" s="115"/>
      <c r="H397" s="114"/>
      <c r="I397" s="114"/>
    </row>
    <row r="398" spans="1:9" s="116" customFormat="1" ht="16.5" customHeight="1">
      <c r="A398" s="113"/>
      <c r="B398" s="114"/>
      <c r="C398" s="115"/>
      <c r="D398" s="115"/>
      <c r="E398" s="115"/>
      <c r="F398" s="115"/>
      <c r="G398" s="115"/>
      <c r="H398" s="114"/>
      <c r="I398" s="114"/>
    </row>
    <row r="399" spans="1:9" s="116" customFormat="1" ht="16.5" customHeight="1">
      <c r="A399" s="113"/>
      <c r="B399" s="114"/>
      <c r="C399" s="115"/>
      <c r="D399" s="115"/>
      <c r="E399" s="115"/>
      <c r="F399" s="115"/>
      <c r="G399" s="115"/>
      <c r="H399" s="114"/>
      <c r="I399" s="114"/>
    </row>
    <row r="400" spans="1:9" s="116" customFormat="1" ht="16.5" customHeight="1">
      <c r="A400" s="113"/>
      <c r="B400" s="114"/>
      <c r="C400" s="115"/>
      <c r="D400" s="115"/>
      <c r="E400" s="115"/>
      <c r="F400" s="115"/>
      <c r="G400" s="115"/>
      <c r="H400" s="114"/>
      <c r="I400" s="114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렌즈미 전국 가맹점</vt:lpstr>
      <vt:lpstr>폐업가맹점 상세</vt:lpstr>
      <vt:lpstr>오픈 &amp; 폐업리스트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Lensme</dc:creator>
  <cp:lastModifiedBy>LENSME</cp:lastModifiedBy>
  <dcterms:created xsi:type="dcterms:W3CDTF">2020-12-15T05:55:02Z</dcterms:created>
  <dcterms:modified xsi:type="dcterms:W3CDTF">2026-09-15T01:40:21Z</dcterms:modified>
</cp:coreProperties>
</file>